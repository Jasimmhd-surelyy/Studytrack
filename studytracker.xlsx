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👋 Start Here" sheetId="1" r:id="rId4"/>
    <sheet state="visible" name="📚 Subjects" sheetId="2" r:id="rId5"/>
    <sheet state="visible" name="📅 Exam Dates" sheetId="3" r:id="rId6"/>
    <sheet state="visible" name="📖 Study Log" sheetId="4" r:id="rId7"/>
    <sheet state="visible" name="🗓 Study Plan" sheetId="5" r:id="rId8"/>
    <sheet state="visible" name="📊 Grades" sheetId="6" r:id="rId9"/>
    <sheet state="visible" name="📈 Dashboard" sheetId="7" r:id="rId10"/>
  </sheets>
  <definedNames/>
  <calcPr/>
  <extLst>
    <ext uri="GoogleSheetsCustomDataVersion2">
      <go:sheetsCustomData xmlns:go="http://customooxmlschemas.google.com/" r:id="rId11" roundtripDataChecksum="z5W47Nzj8XE3Exc02d/vbToSd6se+dVkVHMqm291VBA="/>
    </ext>
  </extLst>
</workbook>
</file>

<file path=xl/sharedStrings.xml><?xml version="1.0" encoding="utf-8"?>
<sst xmlns="http://schemas.openxmlformats.org/spreadsheetml/2006/main" count="111" uniqueCount="98">
  <si>
    <t>Adaptive Revision Planner</t>
  </si>
  <si>
    <t>A complete study planner for any student. Open each tab and start filling in your details.</t>
  </si>
  <si>
    <t>Overview :</t>
  </si>
  <si>
    <t>Most students plan randomly. They underestimate hard subjects and overestimate easy ones. This planner distributes study time more realistically.</t>
  </si>
  <si>
    <t>This tracker centralizes academic planning and performance monitoring. It connects subjects, exam timelines, daily study logs, and grade outcomes into a single organized workflow.</t>
  </si>
  <si>
    <t>Core sections :</t>
  </si>
  <si>
    <t>1. Subjects</t>
  </si>
  <si>
    <t>Track subject name, professor, target grade, status, and notes.</t>
  </si>
  <si>
    <t>2. Exam dates</t>
  </si>
  <si>
    <t>Log upcoming exams, exam type, date, days remaining, and preparation status.</t>
  </si>
  <si>
    <t>3. Study Log</t>
  </si>
  <si>
    <t>Record daily study sessions and monitor consistency.</t>
  </si>
  <si>
    <t>4. Study plan</t>
  </si>
  <si>
    <t>Organize planned sessions aligned with upcoming assessments.</t>
  </si>
  <si>
    <t>5. Grades</t>
  </si>
  <si>
    <t>Track GPA, highest and lowest scores, and academic standing.</t>
  </si>
  <si>
    <t>6. Dashboard</t>
  </si>
  <si>
    <t>Provides a consolidated view of progress and performance metrics.</t>
  </si>
  <si>
    <t>Subjects</t>
  </si>
  <si>
    <t>SUBJECT NAME</t>
  </si>
  <si>
    <t>PROFESSOR</t>
  </si>
  <si>
    <t>TARGET GRADE</t>
  </si>
  <si>
    <t>STATUS</t>
  </si>
  <si>
    <t>NOTES</t>
  </si>
  <si>
    <t xml:space="preserve">Exam Dates </t>
  </si>
  <si>
    <t>SUBJECT</t>
  </si>
  <si>
    <t>TYPE</t>
  </si>
  <si>
    <t xml:space="preserve">DATE </t>
  </si>
  <si>
    <t>DAYS AWAY</t>
  </si>
  <si>
    <t>PREP STATUS</t>
  </si>
  <si>
    <t>Study Log</t>
  </si>
  <si>
    <t>TOTAL HOURS LOGGED</t>
  </si>
  <si>
    <t>SESSIONS</t>
  </si>
  <si>
    <t>THIS WEEK</t>
  </si>
  <si>
    <t>BEST SESSION (HRS)</t>
  </si>
  <si>
    <t>SESSION TYPE</t>
  </si>
  <si>
    <t>HOURS</t>
  </si>
  <si>
    <t>LOCATION</t>
  </si>
  <si>
    <t>ENERGY LEVEL</t>
  </si>
  <si>
    <t>Study Plan</t>
  </si>
  <si>
    <t>WEEK STARTING</t>
  </si>
  <si>
    <t>TOTAL PLANNED HRS THIS WEEK</t>
  </si>
  <si>
    <t>TIME</t>
  </si>
  <si>
    <t>MON</t>
  </si>
  <si>
    <t>TUE</t>
  </si>
  <si>
    <t>WED</t>
  </si>
  <si>
    <t>THU</t>
  </si>
  <si>
    <t>FRI</t>
  </si>
  <si>
    <t>SAT</t>
  </si>
  <si>
    <t>SUN</t>
  </si>
  <si>
    <t>06:00–07:00</t>
  </si>
  <si>
    <t>07:00–08:00</t>
  </si>
  <si>
    <t>08:00–09:00</t>
  </si>
  <si>
    <t>09:00–10:00</t>
  </si>
  <si>
    <t>10:00–11:00</t>
  </si>
  <si>
    <t>11:00–12:00</t>
  </si>
  <si>
    <t>12:00–13:00</t>
  </si>
  <si>
    <t>13:00–14:00</t>
  </si>
  <si>
    <t>14:00–15:00</t>
  </si>
  <si>
    <t>15:00–16:00</t>
  </si>
  <si>
    <t>16:00–17:00</t>
  </si>
  <si>
    <t>17:00–18:00</t>
  </si>
  <si>
    <t>18:00–19:00</t>
  </si>
  <si>
    <t>19:00–20:00</t>
  </si>
  <si>
    <t>20:00–21:00</t>
  </si>
  <si>
    <t>21:00–22:00</t>
  </si>
  <si>
    <t>22:00–23:00</t>
  </si>
  <si>
    <t>WEEKLY SUBJECT GOALS</t>
  </si>
  <si>
    <t>GOAL (HRS/WEEK)</t>
  </si>
  <si>
    <t>LOGGED (HRS)</t>
  </si>
  <si>
    <t>GAP</t>
  </si>
  <si>
    <t>Grades</t>
  </si>
  <si>
    <t>SEMESTER GPA</t>
  </si>
  <si>
    <t>HIGHEST SCORE</t>
  </si>
  <si>
    <t>LOWEST SCORE</t>
  </si>
  <si>
    <t>STANDING</t>
  </si>
  <si>
    <t>GRADE SCALE</t>
  </si>
  <si>
    <t>A   90–100</t>
  </si>
  <si>
    <t>ASSIGNMENT %</t>
  </si>
  <si>
    <t>QUIZ %</t>
  </si>
  <si>
    <t>MIDTERM %</t>
  </si>
  <si>
    <t>FINAL %</t>
  </si>
  <si>
    <t>LETTER GRADE</t>
  </si>
  <si>
    <t>B   80–89</t>
  </si>
  <si>
    <t>C   70–79</t>
  </si>
  <si>
    <t>D   60–69</t>
  </si>
  <si>
    <t>F   0–59</t>
  </si>
  <si>
    <t>Dashboard</t>
  </si>
  <si>
    <t>SUBJECTS</t>
  </si>
  <si>
    <t>HOURS LOGGED</t>
  </si>
  <si>
    <t>EXAMS UPCOMING</t>
  </si>
  <si>
    <t>GPA</t>
  </si>
  <si>
    <t>THIS WEEK (HRS)</t>
  </si>
  <si>
    <t>NEXT EXAMS</t>
  </si>
  <si>
    <t>DATE</t>
  </si>
  <si>
    <t>STUDY PROGRESS BY SUBJECT</t>
  </si>
  <si>
    <t>TARGET (HRS)</t>
  </si>
  <si>
    <t>PROGRESS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</si>
</sst>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"/>
  </numFmts>
  <fonts count="53">
    <font>
      <sz val="11.0"/>
      <color theme="1"/>
      <name val="Georgia"/>
      <scheme val="minor"/>
    </font>
    <font>
      <sz val="11.0"/>
      <color theme="1"/>
      <name val="Calibri"/>
    </font>
    <font>
      <b/>
      <sz val="32.0"/>
      <color rgb="FF351C75"/>
      <name val="Lexend"/>
    </font>
    <font>
      <sz val="11.0"/>
      <color rgb="FF351C75"/>
      <name val="Calibri"/>
    </font>
    <font>
      <sz val="10.0"/>
      <color rgb="FF52525B"/>
      <name val="Calibri"/>
    </font>
    <font>
      <b/>
      <i/>
      <u/>
      <sz val="16.0"/>
      <color rgb="FF3C78D8"/>
      <name val="Calibri"/>
    </font>
    <font>
      <b/>
      <sz val="11.0"/>
      <color rgb="FF000000"/>
      <name val="Nunito"/>
    </font>
    <font>
      <sz val="11.0"/>
      <color rgb="FF000000"/>
      <name val="Nunito"/>
    </font>
    <font>
      <b/>
      <color rgb="FF000000"/>
      <name val="Nunito"/>
    </font>
    <font>
      <b/>
      <sz val="10.0"/>
      <color rgb="FF000000"/>
      <name val="Nunito"/>
    </font>
    <font/>
    <font>
      <b/>
      <sz val="11.0"/>
      <color rgb="FF000000"/>
      <name val="EB Garamond"/>
    </font>
    <font>
      <i/>
      <color theme="1"/>
      <name val="Georgia"/>
      <scheme val="minor"/>
    </font>
    <font>
      <b/>
      <sz val="9.0"/>
      <color rgb="FFD97706"/>
      <name val="Calibri"/>
    </font>
    <font>
      <b/>
      <sz val="35.0"/>
      <color rgb="FF18181B"/>
      <name val="Lexend"/>
    </font>
    <font>
      <b/>
      <sz val="8.0"/>
      <color rgb="FFFFFFFF"/>
      <name val="Nunito"/>
    </font>
    <font>
      <sz val="10.0"/>
      <color rgb="FF18181B"/>
      <name val="Calibri"/>
    </font>
    <font>
      <b/>
      <sz val="9.0"/>
      <color rgb="FF52525B"/>
      <name val="Calibri"/>
    </font>
    <font>
      <color theme="1"/>
      <name val="Georgia"/>
      <scheme val="minor"/>
    </font>
    <font>
      <b/>
      <sz val="32.0"/>
      <color rgb="FF18181B"/>
      <name val="Lexend"/>
    </font>
    <font>
      <sz val="32.0"/>
      <color theme="1"/>
      <name val="Calibri"/>
    </font>
    <font>
      <b/>
      <sz val="10.0"/>
      <color rgb="FFFFFFFF"/>
      <name val="Nunito"/>
    </font>
    <font>
      <b/>
      <sz val="10.0"/>
      <color rgb="FFE11D48"/>
      <name val="Calibri"/>
    </font>
    <font>
      <b/>
      <sz val="8.0"/>
      <color rgb="FF4F46E5"/>
      <name val="Calibri"/>
    </font>
    <font>
      <b/>
      <sz val="8.0"/>
      <color rgb="FF7C3AED"/>
      <name val="Calibri"/>
    </font>
    <font>
      <b/>
      <sz val="8.0"/>
      <color rgb="FF059669"/>
      <name val="Calibri"/>
    </font>
    <font>
      <b/>
      <sz val="8.0"/>
      <color rgb="FFD97706"/>
      <name val="Calibri"/>
    </font>
    <font>
      <b/>
      <sz val="18.0"/>
      <color rgb="FF4F46E5"/>
      <name val="Calibri"/>
    </font>
    <font>
      <b/>
      <sz val="18.0"/>
      <color rgb="FF7C3AED"/>
      <name val="Calibri"/>
    </font>
    <font>
      <b/>
      <sz val="18.0"/>
      <color rgb="FF059669"/>
      <name val="Calibri"/>
    </font>
    <font>
      <b/>
      <sz val="18.0"/>
      <color rgb="FFD97706"/>
      <name val="Calibri"/>
    </font>
    <font>
      <b/>
      <sz val="10.0"/>
      <color rgb="FF4F46E5"/>
      <name val="Calibri"/>
    </font>
    <font>
      <b/>
      <sz val="8.0"/>
      <color rgb="FFA1A1AA"/>
      <name val="Calibri"/>
    </font>
    <font>
      <b/>
      <sz val="11.0"/>
      <color rgb="FF4F46E5"/>
      <name val="Calibri"/>
    </font>
    <font>
      <b/>
      <sz val="9.0"/>
      <color rgb="FFA1A1AA"/>
      <name val="Calibri"/>
    </font>
    <font>
      <b/>
      <sz val="9.0"/>
      <color rgb="FF4F46E5"/>
      <name val="Calibri"/>
    </font>
    <font>
      <sz val="8.0"/>
      <color rgb="FFA1A1AA"/>
      <name val="Calibri"/>
    </font>
    <font>
      <sz val="9.0"/>
      <color rgb="FF18181B"/>
      <name val="Calibri"/>
    </font>
    <font>
      <b/>
      <sz val="8.0"/>
      <color rgb="FF52525B"/>
      <name val="Calibri"/>
    </font>
    <font>
      <b/>
      <sz val="10.0"/>
      <color rgb="FF059669"/>
      <name val="Calibri"/>
    </font>
    <font>
      <b/>
      <sz val="31.0"/>
      <color rgb="FF18181B"/>
      <name val="Lexend"/>
    </font>
    <font>
      <b/>
      <sz val="8.0"/>
      <color rgb="FFE11D48"/>
      <name val="Calibri"/>
    </font>
    <font>
      <b/>
      <sz val="18.0"/>
      <color rgb="FFE11D48"/>
      <name val="Calibri"/>
    </font>
    <font>
      <b/>
      <sz val="9.0"/>
      <color rgb="FF059669"/>
      <name val="Calibri"/>
    </font>
    <font>
      <b/>
      <sz val="9.0"/>
      <color rgb="FF0284C7"/>
      <name val="Calibri"/>
    </font>
    <font>
      <b/>
      <sz val="10.0"/>
      <color rgb="FF18181B"/>
      <name val="Calibri"/>
    </font>
    <font>
      <sz val="10.0"/>
      <color rgb="FF059669"/>
      <name val="Calibri"/>
    </font>
    <font>
      <b/>
      <sz val="9.0"/>
      <color rgb="FFE11D48"/>
      <name val="Calibri"/>
    </font>
    <font>
      <b/>
      <sz val="10.0"/>
      <color rgb="FF7C3AED"/>
      <name val="Calibri"/>
    </font>
    <font>
      <sz val="12.0"/>
      <color theme="1"/>
      <name val="Calibri"/>
    </font>
    <font>
      <b/>
      <sz val="8.0"/>
      <color rgb="FF0284C7"/>
      <name val="Calibri"/>
    </font>
    <font>
      <b/>
      <sz val="18.0"/>
      <color rgb="FF0284C7"/>
      <name val="Calibri"/>
    </font>
    <font>
      <sz val="10.0"/>
      <color rgb="FFA1A1AA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4F4F5"/>
        <bgColor rgb="FFF4F4F5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CFDF5"/>
        <bgColor rgb="FFECFDF5"/>
      </patternFill>
    </fill>
    <fill>
      <patternFill patternType="solid">
        <fgColor rgb="FFFFF1F2"/>
        <bgColor rgb="FFFFF1F2"/>
      </patternFill>
    </fill>
    <fill>
      <patternFill patternType="solid">
        <fgColor rgb="FFE4E4E7"/>
        <bgColor rgb="FFE4E4E7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EF2FF"/>
        <bgColor rgb="FFEEF2FF"/>
      </patternFill>
    </fill>
    <fill>
      <patternFill patternType="solid">
        <fgColor rgb="FFF5F3FF"/>
        <bgColor rgb="FFF5F3FF"/>
      </patternFill>
    </fill>
    <fill>
      <patternFill patternType="solid">
        <fgColor rgb="FFFFFBEB"/>
        <bgColor rgb="FFFFFBEB"/>
      </patternFill>
    </fill>
    <fill>
      <patternFill patternType="solid">
        <fgColor rgb="FF4DD0E1"/>
        <bgColor rgb="FF4DD0E1"/>
      </patternFill>
    </fill>
    <fill>
      <patternFill patternType="solid">
        <fgColor rgb="FFF7CB4E"/>
        <bgColor rgb="FFF7CB4E"/>
      </patternFill>
    </fill>
    <fill>
      <patternFill patternType="solid">
        <fgColor rgb="FFF0F9FF"/>
        <bgColor rgb="FFF0F9FF"/>
      </patternFill>
    </fill>
  </fills>
  <borders count="12">
    <border/>
    <border>
      <left/>
      <right/>
      <top/>
      <bottom/>
    </border>
    <border>
      <right/>
      <top/>
      <bottom/>
    </border>
    <border>
      <left/>
      <top/>
      <bottom/>
    </border>
    <border>
      <left/>
      <right/>
      <top/>
      <bottom style="thin">
        <color rgb="FFD4D4D8"/>
      </bottom>
    </border>
    <border>
      <left/>
      <right/>
      <top/>
      <bottom style="thin">
        <color rgb="FFE4E4E7"/>
      </bottom>
    </border>
    <border>
      <top/>
      <bottom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</border>
    <border>
      <right/>
      <top/>
      <bottom style="thin">
        <color rgb="FFE4E4E7"/>
      </bottom>
    </border>
    <border>
      <left/>
      <top/>
      <bottom style="thin">
        <color rgb="FFE4E4E7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readingOrder="0" vertical="center"/>
    </xf>
    <xf borderId="1" fillId="2" fontId="3" numFmtId="0" xfId="0" applyBorder="1" applyFont="1"/>
    <xf borderId="1" fillId="2" fontId="4" numFmtId="0" xfId="0" applyAlignment="1" applyBorder="1" applyFont="1">
      <alignment horizontal="left" vertical="center"/>
    </xf>
    <xf borderId="1" fillId="0" fontId="1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0" fillId="0" fontId="8" numFmtId="0" xfId="0" applyAlignment="1" applyFont="1">
      <alignment readingOrder="0"/>
    </xf>
    <xf borderId="2" fillId="0" fontId="9" numFmtId="0" xfId="0" applyAlignment="1" applyBorder="1" applyFont="1">
      <alignment horizontal="left" shrinkToFit="0" vertical="top" wrapText="1"/>
    </xf>
    <xf borderId="1" fillId="0" fontId="6" numFmtId="0" xfId="0" applyBorder="1" applyFont="1"/>
    <xf borderId="0" fillId="0" fontId="8" numFmtId="0" xfId="0" applyFont="1"/>
    <xf borderId="3" fillId="0" fontId="4" numFmtId="0" xfId="0" applyAlignment="1" applyBorder="1" applyFont="1">
      <alignment horizontal="left" shrinkToFit="0" vertical="top" wrapText="1"/>
    </xf>
    <xf borderId="2" fillId="0" fontId="10" numFmtId="0" xfId="0" applyBorder="1" applyFont="1"/>
    <xf borderId="1" fillId="3" fontId="11" numFmtId="0" xfId="0" applyAlignment="1" applyBorder="1" applyFill="1" applyFont="1">
      <alignment readingOrder="0" vertical="center"/>
    </xf>
    <xf borderId="0" fillId="3" fontId="12" numFmtId="0" xfId="0" applyAlignment="1" applyFont="1">
      <alignment readingOrder="0" vertical="center"/>
    </xf>
    <xf borderId="1" fillId="4" fontId="11" numFmtId="0" xfId="0" applyAlignment="1" applyBorder="1" applyFill="1" applyFont="1">
      <alignment readingOrder="0" vertical="center"/>
    </xf>
    <xf borderId="0" fillId="4" fontId="12" numFmtId="0" xfId="0" applyAlignment="1" applyFont="1">
      <alignment readingOrder="0" vertical="center"/>
    </xf>
    <xf borderId="1" fillId="5" fontId="11" numFmtId="0" xfId="0" applyAlignment="1" applyBorder="1" applyFill="1" applyFont="1">
      <alignment readingOrder="0" vertical="center"/>
    </xf>
    <xf borderId="0" fillId="5" fontId="12" numFmtId="0" xfId="0" applyAlignment="1" applyFont="1">
      <alignment readingOrder="0" vertical="center"/>
    </xf>
    <xf borderId="1" fillId="6" fontId="11" numFmtId="0" xfId="0" applyAlignment="1" applyBorder="1" applyFill="1" applyFont="1">
      <alignment readingOrder="0" vertical="center"/>
    </xf>
    <xf borderId="0" fillId="6" fontId="12" numFmtId="0" xfId="0" applyAlignment="1" applyFont="1">
      <alignment readingOrder="0" vertical="center"/>
    </xf>
    <xf borderId="1" fillId="7" fontId="11" numFmtId="0" xfId="0" applyAlignment="1" applyBorder="1" applyFill="1" applyFont="1">
      <alignment readingOrder="0" vertical="center"/>
    </xf>
    <xf borderId="0" fillId="7" fontId="12" numFmtId="0" xfId="0" applyAlignment="1" applyFont="1">
      <alignment readingOrder="0" vertical="center"/>
    </xf>
    <xf borderId="1" fillId="8" fontId="11" numFmtId="0" xfId="0" applyAlignment="1" applyBorder="1" applyFill="1" applyFont="1">
      <alignment readingOrder="0" vertical="center"/>
    </xf>
    <xf borderId="0" fillId="8" fontId="12" numFmtId="0" xfId="0" applyAlignment="1" applyFont="1">
      <alignment readingOrder="0" vertical="center"/>
    </xf>
    <xf borderId="3" fillId="0" fontId="13" numFmtId="0" xfId="0" applyBorder="1" applyFont="1"/>
    <xf borderId="3" fillId="0" fontId="4" numFmtId="0" xfId="0" applyBorder="1" applyFont="1"/>
    <xf borderId="1" fillId="2" fontId="14" numFmtId="0" xfId="0" applyAlignment="1" applyBorder="1" applyFont="1">
      <alignment horizontal="left" vertical="center"/>
    </xf>
    <xf borderId="1" fillId="9" fontId="4" numFmtId="0" xfId="0" applyAlignment="1" applyBorder="1" applyFill="1" applyFont="1">
      <alignment horizontal="left" vertical="center"/>
    </xf>
    <xf borderId="1" fillId="9" fontId="1" numFmtId="0" xfId="0" applyBorder="1" applyFont="1"/>
    <xf borderId="4" fillId="10" fontId="15" numFmtId="0" xfId="0" applyAlignment="1" applyBorder="1" applyFill="1" applyFont="1">
      <alignment horizontal="left" vertical="center"/>
    </xf>
    <xf borderId="5" fillId="11" fontId="16" numFmtId="0" xfId="0" applyAlignment="1" applyBorder="1" applyFill="1" applyFont="1">
      <alignment horizontal="left" vertical="center"/>
    </xf>
    <xf borderId="5" fillId="12" fontId="16" numFmtId="0" xfId="0" applyAlignment="1" applyBorder="1" applyFill="1" applyFont="1">
      <alignment horizontal="left" vertical="center"/>
    </xf>
    <xf borderId="5" fillId="13" fontId="16" numFmtId="0" xfId="0" applyAlignment="1" applyBorder="1" applyFill="1" applyFont="1">
      <alignment horizontal="center" vertical="center"/>
    </xf>
    <xf borderId="5" fillId="10" fontId="17" numFmtId="0" xfId="0" applyAlignment="1" applyBorder="1" applyFont="1">
      <alignment horizontal="center" vertical="center"/>
    </xf>
    <xf borderId="5" fillId="14" fontId="16" numFmtId="0" xfId="0" applyAlignment="1" applyBorder="1" applyFill="1" applyFont="1">
      <alignment horizontal="left" vertical="center"/>
    </xf>
    <xf borderId="0" fillId="0" fontId="18" numFmtId="0" xfId="0" applyFont="1"/>
    <xf borderId="1" fillId="2" fontId="19" numFmtId="0" xfId="0" applyAlignment="1" applyBorder="1" applyFont="1">
      <alignment horizontal="left" readingOrder="0" vertical="center"/>
    </xf>
    <xf borderId="1" fillId="2" fontId="20" numFmtId="0" xfId="0" applyBorder="1" applyFont="1"/>
    <xf borderId="1" fillId="15" fontId="1" numFmtId="0" xfId="0" applyBorder="1" applyFill="1" applyFont="1"/>
    <xf borderId="4" fillId="10" fontId="21" numFmtId="0" xfId="0" applyAlignment="1" applyBorder="1" applyFont="1">
      <alignment horizontal="left" vertical="center"/>
    </xf>
    <xf borderId="4" fillId="10" fontId="21" numFmtId="0" xfId="0" applyAlignment="1" applyBorder="1" applyFont="1">
      <alignment horizontal="left" readingOrder="0" vertical="center"/>
    </xf>
    <xf borderId="4" fillId="16" fontId="21" numFmtId="0" xfId="0" applyAlignment="1" applyBorder="1" applyFill="1" applyFont="1">
      <alignment horizontal="left" vertical="center"/>
    </xf>
    <xf borderId="5" fillId="17" fontId="16" numFmtId="0" xfId="0" applyAlignment="1" applyBorder="1" applyFill="1" applyFont="1">
      <alignment horizontal="center" vertical="center"/>
    </xf>
    <xf borderId="5" fillId="13" fontId="16" numFmtId="0" xfId="0" applyAlignment="1" applyBorder="1" applyFont="1">
      <alignment horizontal="left" vertical="center"/>
    </xf>
    <xf borderId="5" fillId="18" fontId="22" numFmtId="0" xfId="0" applyAlignment="1" applyBorder="1" applyFill="1" applyFont="1">
      <alignment horizontal="center" vertical="center"/>
    </xf>
    <xf borderId="5" fillId="4" fontId="16" numFmtId="0" xfId="0" applyAlignment="1" applyBorder="1" applyFont="1">
      <alignment horizontal="left" vertical="center"/>
    </xf>
    <xf borderId="5" fillId="2" fontId="2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/>
    </xf>
    <xf borderId="1" fillId="0" fontId="19" numFmtId="0" xfId="0" applyAlignment="1" applyBorder="1" applyFont="1">
      <alignment horizontal="left" readingOrder="0" vertical="center"/>
    </xf>
    <xf borderId="1" fillId="0" fontId="20" numFmtId="0" xfId="0" applyBorder="1" applyFont="1"/>
    <xf borderId="1" fillId="0" fontId="4" numFmtId="0" xfId="0" applyAlignment="1" applyBorder="1" applyFont="1">
      <alignment horizontal="left" vertical="center"/>
    </xf>
    <xf borderId="1" fillId="19" fontId="23" numFmtId="0" xfId="0" applyAlignment="1" applyBorder="1" applyFill="1" applyFont="1">
      <alignment horizontal="center" vertical="center"/>
    </xf>
    <xf borderId="1" fillId="20" fontId="24" numFmtId="0" xfId="0" applyAlignment="1" applyBorder="1" applyFill="1" applyFont="1">
      <alignment horizontal="center" vertical="center"/>
    </xf>
    <xf borderId="1" fillId="13" fontId="25" numFmtId="0" xfId="0" applyAlignment="1" applyBorder="1" applyFont="1">
      <alignment horizontal="center" vertical="center"/>
    </xf>
    <xf borderId="1" fillId="21" fontId="26" numFmtId="0" xfId="0" applyAlignment="1" applyBorder="1" applyFill="1" applyFont="1">
      <alignment horizontal="center" vertical="center"/>
    </xf>
    <xf borderId="1" fillId="19" fontId="27" numFmtId="0" xfId="0" applyAlignment="1" applyBorder="1" applyFont="1">
      <alignment horizontal="center" vertical="center"/>
    </xf>
    <xf borderId="1" fillId="20" fontId="28" numFmtId="0" xfId="0" applyAlignment="1" applyBorder="1" applyFont="1">
      <alignment horizontal="center" vertical="center"/>
    </xf>
    <xf borderId="1" fillId="13" fontId="29" numFmtId="0" xfId="0" applyAlignment="1" applyBorder="1" applyFont="1">
      <alignment horizontal="center" vertical="center"/>
    </xf>
    <xf borderId="1" fillId="21" fontId="30" numFmtId="0" xfId="0" applyAlignment="1" applyBorder="1" applyFont="1">
      <alignment horizontal="center" vertical="center"/>
    </xf>
    <xf borderId="4" fillId="22" fontId="15" numFmtId="0" xfId="0" applyAlignment="1" applyBorder="1" applyFill="1" applyFont="1">
      <alignment horizontal="left" vertical="center"/>
    </xf>
    <xf borderId="4" fillId="10" fontId="15" numFmtId="0" xfId="0" applyAlignment="1" applyBorder="1" applyFont="1">
      <alignment horizontal="left" readingOrder="0" vertical="center"/>
    </xf>
    <xf borderId="5" fillId="13" fontId="31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left" vertical="center"/>
    </xf>
    <xf borderId="1" fillId="2" fontId="32" numFmtId="0" xfId="0" applyBorder="1" applyFont="1"/>
    <xf borderId="3" fillId="2" fontId="32" numFmtId="0" xfId="0" applyBorder="1" applyFont="1"/>
    <xf borderId="6" fillId="0" fontId="10" numFmtId="0" xfId="0" applyBorder="1" applyFont="1"/>
    <xf borderId="7" fillId="19" fontId="33" numFmtId="164" xfId="0" applyAlignment="1" applyBorder="1" applyFont="1" applyNumberFormat="1">
      <alignment horizontal="center" vertical="center"/>
    </xf>
    <xf borderId="7" fillId="13" fontId="29" numFmtId="0" xfId="0" applyAlignment="1" applyBorder="1" applyFont="1">
      <alignment horizontal="center" vertical="center"/>
    </xf>
    <xf borderId="4" fillId="10" fontId="34" numFmtId="0" xfId="0" applyAlignment="1" applyBorder="1" applyFont="1">
      <alignment horizontal="center" vertical="center"/>
    </xf>
    <xf borderId="4" fillId="10" fontId="35" numFmtId="0" xfId="0" applyAlignment="1" applyBorder="1" applyFont="1">
      <alignment horizontal="center" vertical="center"/>
    </xf>
    <xf borderId="5" fillId="10" fontId="36" numFmtId="0" xfId="0" applyAlignment="1" applyBorder="1" applyFont="1">
      <alignment horizontal="center" vertical="center"/>
    </xf>
    <xf borderId="5" fillId="18" fontId="37" numFmtId="0" xfId="0" applyAlignment="1" applyBorder="1" applyFont="1">
      <alignment horizontal="center" shrinkToFit="0" vertical="center" wrapText="1"/>
    </xf>
    <xf borderId="5" fillId="2" fontId="37" numFmtId="0" xfId="0" applyAlignment="1" applyBorder="1" applyFont="1">
      <alignment horizontal="center" shrinkToFit="0" vertical="center" wrapText="1"/>
    </xf>
    <xf borderId="4" fillId="10" fontId="38" numFmtId="0" xfId="0" applyAlignment="1" applyBorder="1" applyFont="1">
      <alignment horizontal="left" vertical="center"/>
    </xf>
    <xf borderId="5" fillId="13" fontId="16" numFmtId="0" xfId="0" applyAlignment="1" applyBorder="1" applyFont="1">
      <alignment horizontal="left" vertical="center"/>
    </xf>
    <xf borderId="5" fillId="13" fontId="16" numFmtId="0" xfId="0" applyAlignment="1" applyBorder="1" applyFont="1">
      <alignment horizontal="center" vertical="center"/>
    </xf>
    <xf borderId="5" fillId="18" fontId="39" numFmtId="0" xfId="0" applyAlignment="1" applyBorder="1" applyFont="1">
      <alignment horizontal="center" vertical="center"/>
    </xf>
    <xf borderId="5" fillId="18" fontId="22" numFmtId="0" xfId="0" applyAlignment="1" applyBorder="1" applyFont="1">
      <alignment horizontal="center" vertical="center"/>
    </xf>
    <xf borderId="5" fillId="2" fontId="39" numFmtId="0" xfId="0" applyAlignment="1" applyBorder="1" applyFont="1">
      <alignment horizontal="center" vertical="center"/>
    </xf>
    <xf borderId="5" fillId="2" fontId="22" numFmtId="0" xfId="0" applyAlignment="1" applyBorder="1" applyFont="1">
      <alignment horizontal="center" vertical="center"/>
    </xf>
    <xf borderId="1" fillId="0" fontId="40" numFmtId="0" xfId="0" applyAlignment="1" applyBorder="1" applyFont="1">
      <alignment horizontal="left" vertical="center"/>
    </xf>
    <xf borderId="1" fillId="14" fontId="41" numFmtId="0" xfId="0" applyAlignment="1" applyBorder="1" applyFont="1">
      <alignment horizontal="center" vertical="center"/>
    </xf>
    <xf borderId="1" fillId="14" fontId="42" numFmtId="0" xfId="0" applyAlignment="1" applyBorder="1" applyFont="1">
      <alignment horizontal="center" vertical="center"/>
    </xf>
    <xf borderId="2" fillId="2" fontId="32" numFmtId="0" xfId="0" applyBorder="1" applyFont="1"/>
    <xf borderId="8" fillId="13" fontId="43" numFmtId="0" xfId="0" applyAlignment="1" applyBorder="1" applyFont="1">
      <alignment horizontal="center" vertical="center"/>
    </xf>
    <xf borderId="4" fillId="10" fontId="38" numFmtId="0" xfId="0" applyAlignment="1" applyBorder="1" applyFont="1">
      <alignment horizontal="left" vertical="center"/>
    </xf>
    <xf borderId="4" fillId="23" fontId="38" numFmtId="0" xfId="0" applyAlignment="1" applyBorder="1" applyFill="1" applyFont="1">
      <alignment horizontal="left" vertical="center"/>
    </xf>
    <xf borderId="8" fillId="24" fontId="44" numFmtId="0" xfId="0" applyAlignment="1" applyBorder="1" applyFill="1" applyFont="1">
      <alignment horizontal="center" vertical="center"/>
    </xf>
    <xf borderId="5" fillId="13" fontId="45" numFmtId="0" xfId="0" applyAlignment="1" applyBorder="1" applyFont="1">
      <alignment horizontal="left" vertical="center"/>
    </xf>
    <xf borderId="5" fillId="13" fontId="46" numFmtId="0" xfId="0" applyAlignment="1" applyBorder="1" applyFont="1">
      <alignment horizontal="center" vertical="center"/>
    </xf>
    <xf borderId="5" fillId="18" fontId="45" numFmtId="0" xfId="0" applyAlignment="1" applyBorder="1" applyFont="1">
      <alignment horizontal="center" vertical="center"/>
    </xf>
    <xf borderId="8" fillId="21" fontId="13" numFmtId="0" xfId="0" applyAlignment="1" applyBorder="1" applyFont="1">
      <alignment horizontal="center" vertical="center"/>
    </xf>
    <xf borderId="9" fillId="2" fontId="45" numFmtId="0" xfId="0" applyAlignment="1" applyBorder="1" applyFont="1">
      <alignment horizontal="center" vertical="center"/>
    </xf>
    <xf borderId="8" fillId="14" fontId="47" numFmtId="0" xfId="0" applyAlignment="1" applyBorder="1" applyFont="1">
      <alignment horizontal="center" vertical="center"/>
    </xf>
    <xf borderId="9" fillId="18" fontId="45" numFmtId="0" xfId="0" applyAlignment="1" applyBorder="1" applyFont="1">
      <alignment horizontal="center" vertical="center"/>
    </xf>
    <xf borderId="8" fillId="10" fontId="34" numFmtId="0" xfId="0" applyAlignment="1" applyBorder="1" applyFont="1">
      <alignment horizontal="center" vertical="center"/>
    </xf>
    <xf borderId="10" fillId="0" fontId="48" numFmtId="0" xfId="0" applyAlignment="1" applyBorder="1" applyFont="1">
      <alignment horizontal="center" vertical="center"/>
    </xf>
    <xf borderId="0" fillId="0" fontId="48" numFmtId="0" xfId="0" applyAlignment="1" applyFont="1">
      <alignment horizontal="center" vertical="center"/>
    </xf>
    <xf borderId="2" fillId="0" fontId="1" numFmtId="0" xfId="0" applyBorder="1" applyFont="1"/>
    <xf borderId="3" fillId="0" fontId="1" numFmtId="0" xfId="0" applyBorder="1" applyFont="1"/>
    <xf borderId="11" fillId="0" fontId="1" numFmtId="0" xfId="0" applyBorder="1" applyFont="1"/>
    <xf borderId="1" fillId="2" fontId="49" numFmtId="0" xfId="0" applyBorder="1" applyFont="1"/>
    <xf borderId="1" fillId="24" fontId="50" numFmtId="0" xfId="0" applyAlignment="1" applyBorder="1" applyFont="1">
      <alignment horizontal="center" vertical="center"/>
    </xf>
    <xf borderId="1" fillId="24" fontId="51" numFmtId="0" xfId="0" applyAlignment="1" applyBorder="1" applyFont="1">
      <alignment horizontal="center" vertical="center"/>
    </xf>
    <xf borderId="5" fillId="18" fontId="16" numFmtId="0" xfId="0" applyAlignment="1" applyBorder="1" applyFont="1">
      <alignment horizontal="left" vertical="center"/>
    </xf>
    <xf borderId="5" fillId="18" fontId="13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left" vertical="center"/>
    </xf>
    <xf borderId="5" fillId="2" fontId="13" numFmtId="0" xfId="0" applyAlignment="1" applyBorder="1" applyFont="1">
      <alignment horizontal="center" vertical="center"/>
    </xf>
    <xf borderId="5" fillId="18" fontId="45" numFmtId="0" xfId="0" applyAlignment="1" applyBorder="1" applyFont="1">
      <alignment horizontal="left" vertical="center"/>
    </xf>
    <xf borderId="5" fillId="18" fontId="31" numFmtId="0" xfId="0" applyAlignment="1" applyBorder="1" applyFont="1">
      <alignment horizontal="center" vertical="center"/>
    </xf>
    <xf borderId="5" fillId="18" fontId="52" numFmtId="0" xfId="0" applyAlignment="1" applyBorder="1" applyFont="1">
      <alignment horizontal="center" vertical="center"/>
    </xf>
    <xf borderId="5" fillId="2" fontId="45" numFmtId="0" xfId="0" applyAlignment="1" applyBorder="1" applyFont="1">
      <alignment horizontal="left" vertical="center"/>
    </xf>
    <xf borderId="5" fillId="2" fontId="31" numFmtId="0" xfId="0" applyAlignment="1" applyBorder="1" applyFont="1">
      <alignment horizontal="center" vertical="center"/>
    </xf>
    <xf borderId="5" fillId="2" fontId="52" numFmtId="0" xfId="0" applyAlignment="1" applyBorder="1" applyFont="1">
      <alignment horizontal="center" vertical="center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4">
    <tableStyle count="3" pivot="0" name="📚 Subjects-style">
      <tableStyleElement dxfId="1" type="headerRow"/>
      <tableStyleElement dxfId="2" type="firstRowStripe"/>
      <tableStyleElement dxfId="3" type="secondRowStripe"/>
    </tableStyle>
    <tableStyle count="3" pivot="0" name="📚 Subjects-style 2">
      <tableStyleElement dxfId="4" type="headerRow"/>
      <tableStyleElement dxfId="2" type="firstRowStripe"/>
      <tableStyleElement dxfId="5" type="secondRowStripe"/>
    </tableStyle>
    <tableStyle count="3" pivot="0" name="📚 Subjects-style 3">
      <tableStyleElement dxfId="6" type="headerRow"/>
      <tableStyleElement dxfId="2" type="firstRowStripe"/>
      <tableStyleElement dxfId="7" type="secondRowStripe"/>
    </tableStyle>
    <tableStyle count="3" pivot="0" name="📚 Subjects-style 4">
      <tableStyleElement dxfId="8" type="headerRow"/>
      <tableStyleElement dxfId="2" type="firstRowStripe"/>
      <tableStyleElement dxfId="9" type="secondRowStripe"/>
    </tableStyle>
    <tableStyle count="3" pivot="0" name="📚 Subjects-style 5">
      <tableStyleElement dxfId="4" type="headerRow"/>
      <tableStyleElement dxfId="2" type="firstRowStripe"/>
      <tableStyleElement dxfId="5" type="secondRowStripe"/>
    </tableStyle>
    <tableStyle count="3" pivot="0" name="📅 Exam Dates-style">
      <tableStyleElement dxfId="1" type="headerRow"/>
      <tableStyleElement dxfId="2" type="firstRowStripe"/>
      <tableStyleElement dxfId="3" type="secondRowStripe"/>
    </tableStyle>
    <tableStyle count="3" pivot="0" name="📅 Exam Dates-style 2">
      <tableStyleElement dxfId="4" type="headerRow"/>
      <tableStyleElement dxfId="2" type="firstRowStripe"/>
      <tableStyleElement dxfId="5" type="secondRowStripe"/>
    </tableStyle>
    <tableStyle count="3" pivot="0" name="📅 Exam Dates-style 3">
      <tableStyleElement dxfId="10" type="headerRow"/>
      <tableStyleElement dxfId="2" type="firstRowStripe"/>
      <tableStyleElement dxfId="11" type="secondRowStripe"/>
    </tableStyle>
    <tableStyle count="3" pivot="0" name="📅 Exam Dates-style 4">
      <tableStyleElement dxfId="12" type="headerRow"/>
      <tableStyleElement dxfId="2" type="firstRowStripe"/>
      <tableStyleElement dxfId="13" type="secondRowStripe"/>
    </tableStyle>
    <tableStyle count="3" pivot="0" name="📅 Exam Dates-style 5">
      <tableStyleElement dxfId="14" type="headerRow"/>
      <tableStyleElement dxfId="2" type="firstRowStripe"/>
      <tableStyleElement dxfId="15" type="secondRowStripe"/>
    </tableStyle>
    <tableStyle count="3" pivot="0" name="📅 Exam Dates-style 6">
      <tableStyleElement dxfId="4" type="headerRow"/>
      <tableStyleElement dxfId="2" type="firstRowStripe"/>
      <tableStyleElement dxfId="5" type="secondRowStripe"/>
    </tableStyle>
    <tableStyle count="3" pivot="0" name="📖 Study Log-style">
      <tableStyleElement dxfId="1" type="headerRow"/>
      <tableStyleElement dxfId="2" type="firstRowStripe"/>
      <tableStyleElement dxfId="3" type="secondRowStripe"/>
    </tableStyle>
    <tableStyle count="3" pivot="0" name="📖 Study Log-style 2">
      <tableStyleElement dxfId="6" type="headerRow"/>
      <tableStyleElement dxfId="2" type="firstRowStripe"/>
      <tableStyleElement dxfId="7" type="secondRowStripe"/>
    </tableStyle>
    <tableStyle count="3" pivot="0" name="📖 Study Log-style 3">
      <tableStyleElement dxfId="10" type="headerRow"/>
      <tableStyleElement dxfId="2" type="firstRowStripe"/>
      <tableStyleElement dxfId="11" type="secondRowStripe"/>
    </tableStyle>
    <tableStyle count="3" pivot="0" name="📖 Study Log-style 4">
      <tableStyleElement dxfId="16" type="headerRow"/>
      <tableStyleElement dxfId="2" type="firstRowStripe"/>
      <tableStyleElement dxfId="17" type="secondRowStripe"/>
    </tableStyle>
    <tableStyle count="3" pivot="0" name="📖 Study Log-style 5">
      <tableStyleElement dxfId="4" type="headerRow"/>
      <tableStyleElement dxfId="2" type="firstRowStripe"/>
      <tableStyleElement dxfId="5" type="secondRowStripe"/>
    </tableStyle>
    <tableStyle count="3" pivot="0" name="📖 Study Log-style 6">
      <tableStyleElement dxfId="18" type="headerRow"/>
      <tableStyleElement dxfId="2" type="firstRowStripe"/>
      <tableStyleElement dxfId="19" type="secondRowStripe"/>
    </tableStyle>
    <tableStyle count="3" pivot="0" name="📖 Study Log-style 7">
      <tableStyleElement dxfId="4" type="headerRow"/>
      <tableStyleElement dxfId="2" type="firstRowStripe"/>
      <tableStyleElement dxfId="5" type="secondRowStripe"/>
    </tableStyle>
    <tableStyle count="3" pivot="0" name="📊 Grades-style">
      <tableStyleElement dxfId="16" type="headerRow"/>
      <tableStyleElement dxfId="2" type="firstRowStripe"/>
      <tableStyleElement dxfId="17" type="secondRowStripe"/>
    </tableStyle>
    <tableStyle count="3" pivot="0" name="📊 Grades-style 2">
      <tableStyleElement dxfId="18" type="headerRow"/>
      <tableStyleElement dxfId="2" type="firstRowStripe"/>
      <tableStyleElement dxfId="19" type="secondRowStripe"/>
    </tableStyle>
    <tableStyle count="3" pivot="0" name="📊 Grades-style 3">
      <tableStyleElement dxfId="20" type="headerRow"/>
      <tableStyleElement dxfId="2" type="firstRowStripe"/>
      <tableStyleElement dxfId="21" type="secondRowStripe"/>
    </tableStyle>
    <tableStyle count="3" pivot="0" name="📊 Grades-style 4">
      <tableStyleElement dxfId="6" type="headerRow"/>
      <tableStyleElement dxfId="2" type="firstRowStripe"/>
      <tableStyleElement dxfId="7" type="secondRowStripe"/>
    </tableStyle>
    <tableStyle count="3" pivot="0" name="📊 Grades-style 5">
      <tableStyleElement dxfId="12" type="headerRow"/>
      <tableStyleElement dxfId="2" type="firstRowStripe"/>
      <tableStyleElement dxfId="13" type="secondRowStripe"/>
    </tableStyle>
    <tableStyle count="3" pivot="0" name="📊 Grades-style 6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A5A5A5"/>
                </a:solidFill>
                <a:latin typeface="+mn-lt"/>
              </a:defRPr>
            </a:pPr>
            <a:r>
              <a:rPr b="1" i="0">
                <a:solidFill>
                  <a:srgbClr val="A5A5A5"/>
                </a:solidFill>
                <a:latin typeface="+mn-lt"/>
              </a:rPr>
              <a:t>Exam Countdown — Days Remaining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'📅 Exam Dates'!$F$6</c:f>
            </c:strRef>
          </c:tx>
          <c:cat>
            <c:strRef>
              <c:f>'📅 Exam Dates'!$C$7:$C$16</c:f>
            </c:strRef>
          </c:cat>
          <c:val>
            <c:numRef>
              <c:f>'📅 Exam Dates'!$F$7:$F$16</c:f>
              <c:numCache/>
            </c:numRef>
          </c:val>
        </c:ser>
        <c:axId val="1118269060"/>
        <c:axId val="50798810"/>
      </c:barChart>
      <c:catAx>
        <c:axId val="11182690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585858"/>
                    </a:solidFill>
                    <a:latin typeface="+mn-lt"/>
                  </a:defRPr>
                </a:pPr>
                <a:r>
                  <a:rPr b="1" i="0">
                    <a:solidFill>
                      <a:srgbClr val="585858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</a:p>
        </c:txPr>
        <c:crossAx val="50798810"/>
      </c:catAx>
      <c:valAx>
        <c:axId val="5079881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1182690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96969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A5A5A5"/>
                </a:solidFill>
                <a:latin typeface="+mn-lt"/>
              </a:defRPr>
            </a:pPr>
            <a:r>
              <a:rPr b="1" i="0">
                <a:solidFill>
                  <a:srgbClr val="A5A5A5"/>
                </a:solidFill>
                <a:latin typeface="+mn-lt"/>
              </a:rPr>
              <a:t>Goal vs Logged Hours by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'🗓 Study Plan'!$D$33</c:f>
            </c:strRef>
          </c:tx>
          <c:spPr>
            <a:solidFill>
              <a:srgbClr val="D4D4D8"/>
            </a:solidFill>
            <a:ln cmpd="sng">
              <a:solidFill>
                <a:srgbClr val="000000"/>
              </a:solidFill>
            </a:ln>
          </c:spPr>
          <c:cat>
            <c:strRef>
              <c:f>'🗓 Study Plan'!$C$34:$C$43</c:f>
            </c:strRef>
          </c:cat>
          <c:val>
            <c:numRef>
              <c:f>'🗓 Study Plan'!$D$34:$D$43</c:f>
              <c:numCache/>
            </c:numRef>
          </c:val>
        </c:ser>
        <c:ser>
          <c:idx val="1"/>
          <c:order val="1"/>
          <c:tx>
            <c:strRef>
              <c:f>'🗓 Study Plan'!$E$33</c:f>
            </c:strRef>
          </c:tx>
          <c:cat>
            <c:strRef>
              <c:f>'🗓 Study Plan'!$C$34:$C$43</c:f>
            </c:strRef>
          </c:cat>
          <c:val>
            <c:numRef>
              <c:f>'🗓 Study Plan'!$E$34:$E$43</c:f>
              <c:numCache/>
            </c:numRef>
          </c:val>
        </c:ser>
        <c:axId val="1062881703"/>
        <c:axId val="1629374914"/>
      </c:barChart>
      <c:catAx>
        <c:axId val="1062881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585858"/>
                    </a:solidFill>
                    <a:latin typeface="+mn-lt"/>
                  </a:defRPr>
                </a:pPr>
                <a:r>
                  <a:rPr b="1" i="0">
                    <a:solidFill>
                      <a:srgbClr val="585858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</a:p>
        </c:txPr>
        <c:crossAx val="1629374914"/>
      </c:catAx>
      <c:valAx>
        <c:axId val="1629374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585858"/>
                    </a:solidFill>
                    <a:latin typeface="+mn-lt"/>
                  </a:defRPr>
                </a:pPr>
                <a:r>
                  <a:rPr b="1" i="0">
                    <a:solidFill>
                      <a:srgbClr val="585858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</a:p>
        </c:txPr>
        <c:crossAx val="1062881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96969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A5A5A5"/>
                </a:solidFill>
                <a:latin typeface="+mn-lt"/>
              </a:defRPr>
            </a:pPr>
            <a:r>
              <a:rPr b="1" i="0">
                <a:solidFill>
                  <a:srgbClr val="A5A5A5"/>
                </a:solidFill>
                <a:latin typeface="+mn-lt"/>
              </a:rPr>
              <a:t>Weighted Average by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Grades'!$H$9</c:f>
            </c:strRef>
          </c:tx>
          <c:cat>
            <c:strRef>
              <c:f>'📊 Grades'!$C$10:$C$19</c:f>
            </c:strRef>
          </c:cat>
          <c:val>
            <c:numRef>
              <c:f>'📊 Grades'!$H$10:$H$19</c:f>
              <c:numCache/>
            </c:numRef>
          </c:val>
        </c:ser>
        <c:axId val="635632662"/>
        <c:axId val="536014136"/>
      </c:barChart>
      <c:catAx>
        <c:axId val="635632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585858"/>
                    </a:solidFill>
                    <a:latin typeface="+mn-lt"/>
                  </a:defRPr>
                </a:pPr>
                <a:r>
                  <a:rPr b="0">
                    <a:solidFill>
                      <a:srgbClr val="58585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</a:p>
        </c:txPr>
        <c:crossAx val="536014136"/>
      </c:catAx>
      <c:valAx>
        <c:axId val="53601413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35632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96969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A5A5A5"/>
                </a:solidFill>
                <a:latin typeface="+mn-lt"/>
              </a:defRPr>
            </a:pPr>
            <a:r>
              <a:rPr b="1" i="0">
                <a:solidFill>
                  <a:srgbClr val="A5A5A5"/>
                </a:solidFill>
                <a:latin typeface="+mn-lt"/>
              </a:rPr>
              <a:t>Total Study Hours by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Dashboard'!$D$25</c:f>
            </c:strRef>
          </c:tx>
          <c:spPr>
            <a:solidFill>
              <a:srgbClr val="4F46E5"/>
            </a:solidFill>
            <a:ln cmpd="sng">
              <a:solidFill>
                <a:srgbClr val="000000"/>
              </a:solidFill>
            </a:ln>
          </c:spPr>
          <c:cat>
            <c:strRef>
              <c:f>'📈 Dashboard'!$C$26:$C$35</c:f>
            </c:strRef>
          </c:cat>
          <c:val>
            <c:numRef>
              <c:f>'📈 Dashboard'!$D$26:$D$35</c:f>
              <c:numCache/>
            </c:numRef>
          </c:val>
        </c:ser>
        <c:ser>
          <c:idx val="1"/>
          <c:order val="1"/>
          <c:tx>
            <c:strRef>
              <c:f>'📈 Dashboard'!$E$25</c:f>
            </c:strRef>
          </c:tx>
          <c:cat>
            <c:strRef>
              <c:f>'📈 Dashboard'!$C$26:$C$35</c:f>
            </c:strRef>
          </c:cat>
          <c:val>
            <c:numRef>
              <c:f>'📈 Dashboard'!$E$26:$E$35</c:f>
              <c:numCache/>
            </c:numRef>
          </c:val>
        </c:ser>
        <c:axId val="849093268"/>
        <c:axId val="1352919908"/>
      </c:barChart>
      <c:catAx>
        <c:axId val="849093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585858"/>
                    </a:solidFill>
                    <a:latin typeface="+mn-lt"/>
                  </a:defRPr>
                </a:pPr>
                <a:r>
                  <a:rPr b="0">
                    <a:solidFill>
                      <a:srgbClr val="58585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</a:p>
        </c:txPr>
        <c:crossAx val="1352919908"/>
      </c:catAx>
      <c:valAx>
        <c:axId val="1352919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585858"/>
                    </a:solidFill>
                    <a:latin typeface="+mn-lt"/>
                  </a:defRPr>
                </a:pPr>
                <a:r>
                  <a:rPr b="1" i="0">
                    <a:solidFill>
                      <a:srgbClr val="585858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</a:p>
        </c:txPr>
        <c:crossAx val="849093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96969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A5A5A5"/>
                </a:solidFill>
                <a:latin typeface="+mn-lt"/>
              </a:defRPr>
            </a:pPr>
            <a:r>
              <a:rPr b="1" i="0">
                <a:solidFill>
                  <a:srgbClr val="A5A5A5"/>
                </a:solidFill>
                <a:latin typeface="+mn-lt"/>
              </a:rPr>
              <a:t>Progress % by Subject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Dashboard'!$F$25</c:f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059669"/>
              </a:solidFill>
            </c:spPr>
          </c:dPt>
          <c:dPt>
            <c:idx val="2"/>
            <c:spPr>
              <a:solidFill>
                <a:srgbClr val="7C3AED"/>
              </a:solidFill>
            </c:spPr>
          </c:dPt>
          <c:dPt>
            <c:idx val="3"/>
            <c:spPr>
              <a:solidFill>
                <a:srgbClr val="D97706"/>
              </a:solidFill>
            </c:spPr>
          </c:dPt>
          <c:dPt>
            <c:idx val="4"/>
            <c:spPr>
              <a:solidFill>
                <a:srgbClr val="0284C7"/>
              </a:solidFill>
            </c:spPr>
          </c:dPt>
          <c:dPt>
            <c:idx val="5"/>
            <c:spPr>
              <a:solidFill>
                <a:srgbClr val="E11D48"/>
              </a:solidFill>
            </c:spPr>
          </c:dPt>
          <c:dPt>
            <c:idx val="6"/>
            <c:spPr>
              <a:solidFill>
                <a:srgbClr val="D4D4D8"/>
              </a:solidFill>
            </c:spPr>
          </c:dPt>
          <c:dPt>
            <c:idx val="7"/>
            <c:spPr>
              <a:solidFill>
                <a:srgbClr val="52525B"/>
              </a:solidFill>
            </c:spPr>
          </c:dPt>
          <c:dPt>
            <c:idx val="8"/>
            <c:spPr>
              <a:solidFill>
                <a:srgbClr val="059669"/>
              </a:solidFill>
            </c:spPr>
          </c:dPt>
          <c:dPt>
            <c:idx val="9"/>
            <c:spPr>
              <a:solidFill>
                <a:srgbClr val="D9770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Dashboard'!$C$26:$C$35</c:f>
            </c:strRef>
          </c:cat>
          <c:val>
            <c:numRef>
              <c:f>'📈 Dashboard'!$F$26:$F$35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696969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1600200</xdr:colOff>
      <xdr:row>5</xdr:row>
      <xdr:rowOff>85725</xdr:rowOff>
    </xdr:from>
    <xdr:ext cx="5086350" cy="3638550"/>
    <xdr:graphicFrame>
      <xdr:nvGraphicFramePr>
        <xdr:cNvPr id="106957100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32</xdr:row>
      <xdr:rowOff>0</xdr:rowOff>
    </xdr:from>
    <xdr:ext cx="7915275" cy="4314825"/>
    <xdr:graphicFrame>
      <xdr:nvGraphicFramePr>
        <xdr:cNvPr id="11109441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790575</xdr:colOff>
      <xdr:row>12</xdr:row>
      <xdr:rowOff>9525</xdr:rowOff>
    </xdr:from>
    <xdr:ext cx="4533900" cy="2466975"/>
    <xdr:graphicFrame>
      <xdr:nvGraphicFramePr>
        <xdr:cNvPr id="100894425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11</xdr:row>
      <xdr:rowOff>0</xdr:rowOff>
    </xdr:from>
    <xdr:ext cx="6477000" cy="4314825"/>
    <xdr:graphicFrame>
      <xdr:nvGraphicFramePr>
        <xdr:cNvPr id="162066932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26</xdr:row>
      <xdr:rowOff>0</xdr:rowOff>
    </xdr:from>
    <xdr:ext cx="6477000" cy="4314825"/>
    <xdr:graphicFrame>
      <xdr:nvGraphicFramePr>
        <xdr:cNvPr id="94374947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C6:C18" displayName="Table_1" name="Table_1" id="1">
  <tableColumns count="1">
    <tableColumn name="SUBJECT NAME" id="1"/>
  </tableColumns>
  <tableStyleInfo name="📚 Subjects-style" showColumnStripes="0" showFirstColumn="1" showLastColumn="1" showRowStripes="1"/>
</table>
</file>

<file path=xl/tables/table2.xml><?xml version="1.0" encoding="utf-8"?>
<table xmlns="http://schemas.openxmlformats.org/spreadsheetml/2006/main" ref="D6:D18" displayName="Table_2" name="Table_2" id="2">
  <tableColumns count="1">
    <tableColumn name="PROFESSOR" id="1"/>
  </tableColumns>
  <tableStyleInfo name="📚 Subjects-style 2" showColumnStripes="0" showFirstColumn="1" showLastColumn="1" showRowStripes="1"/>
</table>
</file>

<file path=xl/tables/table3.xml><?xml version="1.0" encoding="utf-8"?>
<table xmlns="http://schemas.openxmlformats.org/spreadsheetml/2006/main" ref="E6:E18" displayName="Table_3" name="Table_3" id="3">
  <tableColumns count="1">
    <tableColumn name="TARGET GRADE" id="1"/>
  </tableColumns>
  <tableStyleInfo name="📚 Subjects-style 3" showColumnStripes="0" showFirstColumn="1" showLastColumn="1" showRowStripes="1"/>
</table>
</file>

<file path=xl/tables/table4.xml><?xml version="1.0" encoding="utf-8"?>
<table xmlns="http://schemas.openxmlformats.org/spreadsheetml/2006/main" ref="F6:F18" displayName="Table_4" name="Table_4" id="4">
  <tableColumns count="1">
    <tableColumn name="STATUS" id="1"/>
  </tableColumns>
  <tableStyleInfo name="📚 Subjects-style 4" showColumnStripes="0" showFirstColumn="1" showLastColumn="1" showRowStripes="1"/>
</table>
</file>

<file path=xl/tables/table5.xml><?xml version="1.0" encoding="utf-8"?>
<table xmlns="http://schemas.openxmlformats.org/spreadsheetml/2006/main" ref="G6:G19" displayName="Table_5" name="Table_5" id="5">
  <tableColumns count="1">
    <tableColumn name="NOTES" id="1"/>
  </tableColumns>
  <tableStyleInfo name="📚 Subjects-style 5" showColumnStripes="0" showFirstColumn="1" showLastColumn="1" showRowStripes="1"/>
</table>
</file>

<file path=xl/tables/table6.xml><?xml version="1.0" encoding="utf-8"?>
<table xmlns="http://schemas.openxmlformats.org/spreadsheetml/2006/main" ref="C6:C18" displayName="Table_6" name="Table_6" id="6">
  <tableColumns count="1">
    <tableColumn name="SUBJECT" id="1"/>
  </tableColumns>
  <tableStyleInfo name="📅 Exam Dates-style" showColumnStripes="0" showFirstColumn="1" showLastColumn="1" showRowStripes="1"/>
</table>
</file>

<file path=xl/tables/table7.xml><?xml version="1.0" encoding="utf-8"?>
<table xmlns="http://schemas.openxmlformats.org/spreadsheetml/2006/main" ref="D6:D18" displayName="Table_7" name="Table_7" id="7">
  <tableColumns count="1">
    <tableColumn name="TYPE" id="1"/>
  </tableColumns>
  <tableStyleInfo name="📅 Exam Dates-style 2" showColumnStripes="0" showFirstColumn="1" showLastColumn="1" showRowStripes="1"/>
</table>
</file>

<file path=xl/tables/table8.xml><?xml version="1.0" encoding="utf-8"?>
<table xmlns="http://schemas.openxmlformats.org/spreadsheetml/2006/main" ref="E6:E18" displayName="Table_8" name="Table_8" id="8">
  <tableColumns count="1">
    <tableColumn name="DATE " id="1"/>
  </tableColumns>
  <tableStyleInfo name="📅 Exam Dates-style 3" showColumnStripes="0" showFirstColumn="1" showLastColumn="1" showRowStripes="1"/>
</table>
</file>

<file path=xl/tables/table9.xml><?xml version="1.0" encoding="utf-8"?>
<table xmlns="http://schemas.openxmlformats.org/spreadsheetml/2006/main" ref="F6:F18" displayName="Table_9" name="Table_9" id="9">
  <tableColumns count="1">
    <tableColumn name="DAYS AWAY" id="1"/>
  </tableColumns>
  <tableStyleInfo name="📅 Exam Dates-style 4" showColumnStripes="0" showFirstColumn="1" showLastColumn="1" showRowStripes="1"/>
</table>
</file>

<file path=xl/tables/table10.xml><?xml version="1.0" encoding="utf-8"?>
<table xmlns="http://schemas.openxmlformats.org/spreadsheetml/2006/main" ref="G6:G18" displayName="Table_10" name="Table_10" id="10">
  <tableColumns count="1">
    <tableColumn name="PREP STATUS" id="1"/>
  </tableColumns>
  <tableStyleInfo name="📅 Exam Dates-style 5" showColumnStripes="0" showFirstColumn="1" showLastColumn="1" showRowStripes="1"/>
</table>
</file>

<file path=xl/tables/table11.xml><?xml version="1.0" encoding="utf-8"?>
<table xmlns="http://schemas.openxmlformats.org/spreadsheetml/2006/main" ref="H6:H18" displayName="Table_11" name="Table_11" id="11">
  <tableColumns count="1">
    <tableColumn name="NOTES" id="1"/>
  </tableColumns>
  <tableStyleInfo name="📅 Exam Dates-style 6" showColumnStripes="0" showFirstColumn="1" showLastColumn="1" showRowStripes="1"/>
</table>
</file>

<file path=xl/tables/table12.xml><?xml version="1.0" encoding="utf-8"?>
<table xmlns="http://schemas.openxmlformats.org/spreadsheetml/2006/main" ref="C12:C20" displayName="Table_12" name="Table_12" id="12">
  <tableColumns count="1">
    <tableColumn name="SUBJECT" id="1"/>
  </tableColumns>
  <tableStyleInfo name="📖 Study Log-style" showColumnStripes="0" showFirstColumn="1" showLastColumn="1" showRowStripes="1"/>
</table>
</file>

<file path=xl/tables/table13.xml><?xml version="1.0" encoding="utf-8"?>
<table xmlns="http://schemas.openxmlformats.org/spreadsheetml/2006/main" ref="D12:D20" displayName="Table_13" name="Table_13" id="13">
  <tableColumns count="1">
    <tableColumn name="SESSION TYPE" id="1"/>
  </tableColumns>
  <tableStyleInfo name="📖 Study Log-style 2" showColumnStripes="0" showFirstColumn="1" showLastColumn="1" showRowStripes="1"/>
</table>
</file>

<file path=xl/tables/table14.xml><?xml version="1.0" encoding="utf-8"?>
<table xmlns="http://schemas.openxmlformats.org/spreadsheetml/2006/main" ref="E12:E20" displayName="Table_14" name="Table_14" id="14">
  <tableColumns count="1">
    <tableColumn name="DATE " id="1"/>
  </tableColumns>
  <tableStyleInfo name="📖 Study Log-style 3" showColumnStripes="0" showFirstColumn="1" showLastColumn="1" showRowStripes="1"/>
</table>
</file>

<file path=xl/tables/table15.xml><?xml version="1.0" encoding="utf-8"?>
<table xmlns="http://schemas.openxmlformats.org/spreadsheetml/2006/main" ref="F12:F20" displayName="Table_15" name="Table_15" id="15">
  <tableColumns count="1">
    <tableColumn name="HOURS" id="1"/>
  </tableColumns>
  <tableStyleInfo name="📖 Study Log-style 4" showColumnStripes="0" showFirstColumn="1" showLastColumn="1" showRowStripes="1"/>
</table>
</file>

<file path=xl/tables/table16.xml><?xml version="1.0" encoding="utf-8"?>
<table xmlns="http://schemas.openxmlformats.org/spreadsheetml/2006/main" ref="G12:G20" displayName="Table_16" name="Table_16" id="16">
  <tableColumns count="1">
    <tableColumn name="LOCATION" id="1"/>
  </tableColumns>
  <tableStyleInfo name="📖 Study Log-style 5" showColumnStripes="0" showFirstColumn="1" showLastColumn="1" showRowStripes="1"/>
</table>
</file>

<file path=xl/tables/table17.xml><?xml version="1.0" encoding="utf-8"?>
<table xmlns="http://schemas.openxmlformats.org/spreadsheetml/2006/main" ref="H12:H20" displayName="Table_17" name="Table_17" id="17">
  <tableColumns count="1">
    <tableColumn name="ENERGY LEVEL" id="1"/>
  </tableColumns>
  <tableStyleInfo name="📖 Study Log-style 6" showColumnStripes="0" showFirstColumn="1" showLastColumn="1" showRowStripes="1"/>
</table>
</file>

<file path=xl/tables/table18.xml><?xml version="1.0" encoding="utf-8"?>
<table xmlns="http://schemas.openxmlformats.org/spreadsheetml/2006/main" ref="I12:I20" displayName="Table_18" name="Table_18" id="18">
  <tableColumns count="1">
    <tableColumn name="NOTES" id="1"/>
  </tableColumns>
  <tableStyleInfo name="📖 Study Log-style 7" showColumnStripes="0" showFirstColumn="1" showLastColumn="1" showRowStripes="1"/>
</table>
</file>

<file path=xl/tables/table19.xml><?xml version="1.0" encoding="utf-8"?>
<table xmlns="http://schemas.openxmlformats.org/spreadsheetml/2006/main" ref="C9:C21" displayName="Table_19" name="Table_19" id="19">
  <tableColumns count="1">
    <tableColumn name="SUBJECT" id="1"/>
  </tableColumns>
  <tableStyleInfo name="📊 Grades-style" showColumnStripes="0" showFirstColumn="1" showLastColumn="1" showRowStripes="1"/>
</table>
</file>

<file path=xl/tables/table20.xml><?xml version="1.0" encoding="utf-8"?>
<table xmlns="http://schemas.openxmlformats.org/spreadsheetml/2006/main" ref="D9:D21" displayName="Table_20" name="Table_20" id="20">
  <tableColumns count="1">
    <tableColumn name="ASSIGNMENT %" id="1"/>
  </tableColumns>
  <tableStyleInfo name="📊 Grades-style 2" showColumnStripes="0" showFirstColumn="1" showLastColumn="1" showRowStripes="1"/>
</table>
</file>

<file path=xl/tables/table21.xml><?xml version="1.0" encoding="utf-8"?>
<table xmlns="http://schemas.openxmlformats.org/spreadsheetml/2006/main" ref="E9:E21" displayName="Table_21" name="Table_21" id="21">
  <tableColumns count="1">
    <tableColumn name="QUIZ %" id="1"/>
  </tableColumns>
  <tableStyleInfo name="📊 Grades-style 3" showColumnStripes="0" showFirstColumn="1" showLastColumn="1" showRowStripes="1"/>
</table>
</file>

<file path=xl/tables/table22.xml><?xml version="1.0" encoding="utf-8"?>
<table xmlns="http://schemas.openxmlformats.org/spreadsheetml/2006/main" ref="F9:F21" displayName="Table_22" name="Table_22" id="22">
  <tableColumns count="1">
    <tableColumn name="MIDTERM %" id="1"/>
  </tableColumns>
  <tableStyleInfo name="📊 Grades-style 4" showColumnStripes="0" showFirstColumn="1" showLastColumn="1" showRowStripes="1"/>
</table>
</file>

<file path=xl/tables/table23.xml><?xml version="1.0" encoding="utf-8"?>
<table xmlns="http://schemas.openxmlformats.org/spreadsheetml/2006/main" ref="G9:G21" displayName="Table_23" name="Table_23" id="23">
  <tableColumns count="1">
    <tableColumn name="FINAL %" id="1"/>
  </tableColumns>
  <tableStyleInfo name="📊 Grades-style 5" showColumnStripes="0" showFirstColumn="1" showLastColumn="1" showRowStripes="1"/>
</table>
</file>

<file path=xl/tables/table24.xml><?xml version="1.0" encoding="utf-8"?>
<table xmlns="http://schemas.openxmlformats.org/spreadsheetml/2006/main" ref="H9:H21" displayName="Table_24" name="Table_24" id="24">
  <tableColumns count="1">
    <tableColumn name="LETTER GRADE" id="1"/>
  </tableColumns>
  <tableStyleInfo name="📊 Grade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9" Type="http://schemas.openxmlformats.org/officeDocument/2006/relationships/table" Target="../tables/table12.xml"/><Relationship Id="rId15" Type="http://schemas.openxmlformats.org/officeDocument/2006/relationships/table" Target="../tables/table18.xml"/><Relationship Id="rId14" Type="http://schemas.openxmlformats.org/officeDocument/2006/relationships/table" Target="../tables/table1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2.xml"/><Relationship Id="rId10" Type="http://schemas.openxmlformats.org/officeDocument/2006/relationships/table" Target="../tables/table21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9" Type="http://schemas.openxmlformats.org/officeDocument/2006/relationships/table" Target="../tables/table20.xml"/><Relationship Id="rId8" Type="http://schemas.openxmlformats.org/officeDocument/2006/relationships/table" Target="../tables/table1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181B"/>
    <pageSetUpPr/>
  </sheetPr>
  <sheetViews>
    <sheetView showGridLines="0" workbookViewId="0"/>
  </sheetViews>
  <sheetFormatPr customHeight="1" defaultColWidth="10.1" defaultRowHeight="15.0"/>
  <cols>
    <col customWidth="1" min="1" max="2" width="2.1"/>
    <col customWidth="1" min="3" max="3" width="15.4"/>
    <col customWidth="1" min="4" max="4" width="53.5"/>
    <col customWidth="1" min="5" max="5" width="2.1"/>
    <col customWidth="1" min="6" max="26" width="6.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9.75" customHeight="1">
      <c r="A3" s="1"/>
      <c r="B3" s="1"/>
      <c r="C3" s="2" t="s">
        <v>0</v>
      </c>
      <c r="D3" s="3"/>
      <c r="E3" s="3"/>
      <c r="F3" s="3"/>
      <c r="G3" s="1"/>
      <c r="H3" s="1"/>
      <c r="I3" s="1"/>
      <c r="J3" s="1"/>
      <c r="K3" s="1"/>
      <c r="L3" s="1"/>
      <c r="M3" s="1"/>
    </row>
    <row r="4" ht="19.5" customHeight="1">
      <c r="A4" s="1"/>
      <c r="B4" s="1"/>
      <c r="C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ht="15.75" customHeight="1">
      <c r="A5" s="1"/>
      <c r="B5" s="1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14.25" customHeight="1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ht="21.0" customHeight="1">
      <c r="A7" s="1"/>
      <c r="B7" s="1"/>
      <c r="C7" s="6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ht="19.5" customHeight="1">
      <c r="A8" s="1"/>
      <c r="B8" s="1"/>
      <c r="C8" s="7" t="s">
        <v>3</v>
      </c>
      <c r="D8" s="8"/>
      <c r="E8" s="8"/>
      <c r="F8" s="8"/>
      <c r="G8" s="8"/>
      <c r="H8" s="8"/>
      <c r="I8" s="8"/>
      <c r="J8" s="8"/>
      <c r="K8" s="5"/>
      <c r="L8" s="5"/>
      <c r="M8" s="5"/>
    </row>
    <row r="9" ht="19.5" customHeight="1">
      <c r="A9" s="1"/>
      <c r="B9" s="1"/>
      <c r="C9" s="9" t="s">
        <v>4</v>
      </c>
      <c r="D9" s="10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</row>
    <row r="10" ht="26.25" customHeight="1">
      <c r="A10" s="1"/>
      <c r="B10" s="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12.0" customHeight="1">
      <c r="A11" s="1"/>
      <c r="B11" s="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9.5" customHeight="1">
      <c r="A12" s="1"/>
      <c r="B12" s="1"/>
      <c r="C12" s="6" t="s">
        <v>5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19.5" customHeight="1">
      <c r="A13" s="1"/>
      <c r="B13" s="1"/>
      <c r="C13" s="13"/>
      <c r="D13" s="14"/>
      <c r="E13" s="5"/>
      <c r="F13" s="5"/>
      <c r="G13" s="5"/>
      <c r="H13" s="5"/>
      <c r="I13" s="5"/>
      <c r="J13" s="5"/>
      <c r="K13" s="5"/>
      <c r="L13" s="5"/>
      <c r="M13" s="5"/>
    </row>
    <row r="14" ht="30.75" customHeight="1">
      <c r="A14" s="1"/>
      <c r="B14" s="1"/>
      <c r="C14" s="15" t="s">
        <v>6</v>
      </c>
      <c r="D14" s="16" t="s">
        <v>7</v>
      </c>
      <c r="E14" s="5"/>
      <c r="F14" s="5"/>
      <c r="G14" s="5"/>
      <c r="H14" s="5"/>
      <c r="I14" s="5"/>
      <c r="J14" s="5"/>
      <c r="K14" s="5"/>
      <c r="L14" s="5"/>
      <c r="M14" s="5"/>
    </row>
    <row r="15" ht="30.0" customHeight="1">
      <c r="A15" s="1"/>
      <c r="B15" s="1"/>
      <c r="C15" s="17" t="s">
        <v>8</v>
      </c>
      <c r="D15" s="18" t="s">
        <v>9</v>
      </c>
      <c r="E15" s="5"/>
      <c r="F15" s="5"/>
      <c r="G15" s="5"/>
      <c r="H15" s="5"/>
      <c r="I15" s="5"/>
      <c r="J15" s="5"/>
      <c r="K15" s="5"/>
      <c r="L15" s="5"/>
      <c r="M15" s="5"/>
    </row>
    <row r="16" ht="31.5" customHeight="1">
      <c r="A16" s="1"/>
      <c r="B16" s="1"/>
      <c r="C16" s="19" t="s">
        <v>10</v>
      </c>
      <c r="D16" s="20" t="s">
        <v>11</v>
      </c>
      <c r="E16" s="5"/>
      <c r="F16" s="5"/>
      <c r="G16" s="5"/>
      <c r="H16" s="5"/>
      <c r="I16" s="5"/>
      <c r="J16" s="5"/>
      <c r="K16" s="5"/>
      <c r="L16" s="5"/>
      <c r="M16" s="5"/>
    </row>
    <row r="17" ht="38.25" customHeight="1">
      <c r="A17" s="1"/>
      <c r="B17" s="1"/>
      <c r="C17" s="21" t="s">
        <v>12</v>
      </c>
      <c r="D17" s="22" t="s">
        <v>13</v>
      </c>
      <c r="E17" s="5"/>
      <c r="F17" s="5"/>
      <c r="G17" s="5"/>
      <c r="H17" s="5"/>
      <c r="I17" s="5"/>
      <c r="J17" s="5"/>
      <c r="K17" s="5"/>
      <c r="L17" s="5"/>
      <c r="M17" s="5"/>
    </row>
    <row r="18" ht="30.0" customHeight="1">
      <c r="A18" s="1"/>
      <c r="B18" s="1"/>
      <c r="C18" s="23" t="s">
        <v>14</v>
      </c>
      <c r="D18" s="24" t="s">
        <v>15</v>
      </c>
      <c r="E18" s="5"/>
      <c r="F18" s="5"/>
      <c r="G18" s="5"/>
      <c r="H18" s="5"/>
      <c r="I18" s="5"/>
      <c r="J18" s="5"/>
      <c r="K18" s="5"/>
      <c r="L18" s="5"/>
      <c r="M18" s="5"/>
    </row>
    <row r="19" ht="31.5" customHeight="1">
      <c r="A19" s="1"/>
      <c r="B19" s="1"/>
      <c r="C19" s="25" t="s">
        <v>16</v>
      </c>
      <c r="D19" s="26" t="s">
        <v>17</v>
      </c>
      <c r="E19" s="5"/>
      <c r="F19" s="5"/>
      <c r="G19" s="5"/>
      <c r="H19" s="5"/>
      <c r="I19" s="5"/>
      <c r="J19" s="5"/>
      <c r="K19" s="5"/>
      <c r="L19" s="5"/>
      <c r="M19" s="5"/>
    </row>
    <row r="20" ht="19.5" customHeight="1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9.5" customHeight="1">
      <c r="A21" s="1"/>
      <c r="B21" s="1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34.5" customHeight="1">
      <c r="A22" s="1"/>
      <c r="B22" s="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21.0" customHeight="1">
      <c r="A23" s="1"/>
      <c r="B23" s="1"/>
      <c r="C23" s="27"/>
      <c r="D23" s="14"/>
      <c r="E23" s="5"/>
      <c r="F23" s="5"/>
      <c r="G23" s="5"/>
      <c r="H23" s="5"/>
      <c r="I23" s="5"/>
      <c r="J23" s="5"/>
      <c r="K23" s="5"/>
      <c r="L23" s="5"/>
      <c r="M23" s="5"/>
    </row>
    <row r="24" ht="19.5" customHeight="1">
      <c r="A24" s="1"/>
      <c r="B24" s="1"/>
      <c r="C24" s="28"/>
      <c r="D24" s="14"/>
      <c r="E24" s="5"/>
      <c r="F24" s="5"/>
      <c r="G24" s="5"/>
      <c r="H24" s="5"/>
      <c r="I24" s="5"/>
      <c r="J24" s="5"/>
      <c r="K24" s="5"/>
      <c r="L24" s="5"/>
      <c r="M24" s="5"/>
    </row>
    <row r="25" ht="19.5" customHeight="1">
      <c r="A25" s="1"/>
      <c r="B25" s="1"/>
      <c r="C25" s="28"/>
      <c r="D25" s="14"/>
      <c r="E25" s="5"/>
      <c r="F25" s="5"/>
      <c r="G25" s="5"/>
      <c r="H25" s="5"/>
      <c r="I25" s="5"/>
      <c r="J25" s="5"/>
      <c r="K25" s="5"/>
      <c r="L25" s="5"/>
      <c r="M25" s="5"/>
    </row>
    <row r="26" ht="21.0" customHeight="1">
      <c r="A26" s="1"/>
      <c r="B26" s="1"/>
      <c r="C26" s="28"/>
      <c r="D26" s="14"/>
      <c r="E26" s="5"/>
      <c r="F26" s="5"/>
      <c r="G26" s="5"/>
      <c r="H26" s="5"/>
      <c r="I26" s="5"/>
      <c r="J26" s="5"/>
      <c r="K26" s="5"/>
      <c r="L26" s="5"/>
      <c r="M26" s="5"/>
    </row>
    <row r="27" ht="18.75" customHeight="1">
      <c r="A27" s="1"/>
      <c r="B27" s="1"/>
      <c r="C27" s="28"/>
      <c r="D27" s="14"/>
      <c r="E27" s="5"/>
      <c r="F27" s="5"/>
      <c r="G27" s="5"/>
      <c r="H27" s="5"/>
      <c r="I27" s="5"/>
      <c r="J27" s="5"/>
      <c r="K27" s="5"/>
      <c r="L27" s="5"/>
      <c r="M27" s="5"/>
    </row>
    <row r="28" ht="19.5" customHeight="1">
      <c r="A28" s="1"/>
      <c r="B28" s="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9.5" customHeight="1">
      <c r="A29" s="1"/>
      <c r="B29" s="1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6.5" customHeight="1">
      <c r="A30" s="1"/>
      <c r="B30" s="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2.0" customHeight="1">
      <c r="A31" s="1"/>
      <c r="B31" s="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5.75" customHeight="1">
      <c r="A32" s="1"/>
      <c r="B32" s="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5.75" customHeight="1">
      <c r="A33" s="1"/>
      <c r="B33" s="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3.5" customHeight="1">
      <c r="A34" s="1"/>
      <c r="B34" s="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8.0" customHeight="1">
      <c r="A35" s="1"/>
      <c r="B35" s="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8.0" customHeight="1">
      <c r="A36" s="1"/>
      <c r="B36" s="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8.0" customHeight="1">
      <c r="A37" s="1"/>
      <c r="B37" s="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8.0" customHeight="1">
      <c r="A38" s="1"/>
      <c r="B38" s="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5.75" customHeight="1">
      <c r="A39" s="1"/>
      <c r="B39" s="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5.75" customHeight="1">
      <c r="A40" s="1"/>
      <c r="B40" s="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5.75" customHeight="1">
      <c r="A41" s="1"/>
      <c r="B41" s="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5.75" customHeight="1">
      <c r="A42" s="1"/>
      <c r="B42" s="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5.75" customHeight="1">
      <c r="A43" s="1"/>
      <c r="B43" s="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5.75" customHeight="1">
      <c r="A44" s="1"/>
      <c r="B44" s="1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5.75" customHeight="1">
      <c r="A45" s="1"/>
      <c r="B45" s="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5.75" customHeight="1">
      <c r="A46" s="1"/>
      <c r="B46" s="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5.75" customHeight="1">
      <c r="A47" s="1"/>
      <c r="B47" s="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5.75" customHeight="1">
      <c r="A48" s="1"/>
      <c r="B48" s="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5.75" customHeight="1">
      <c r="A49" s="1"/>
      <c r="B49" s="1"/>
      <c r="E49" s="5"/>
      <c r="F49" s="5"/>
      <c r="G49" s="5"/>
      <c r="H49" s="5"/>
      <c r="I49" s="5"/>
      <c r="J49" s="5"/>
      <c r="K49" s="5"/>
      <c r="L49" s="5"/>
      <c r="M49" s="5"/>
    </row>
    <row r="50" ht="15.75" customHeight="1">
      <c r="A50" s="1"/>
      <c r="B50" s="1"/>
      <c r="E50" s="5"/>
      <c r="F50" s="5"/>
      <c r="G50" s="5"/>
      <c r="H50" s="5"/>
      <c r="I50" s="5"/>
      <c r="J50" s="5"/>
      <c r="K50" s="5"/>
      <c r="L50" s="5"/>
      <c r="M50" s="5"/>
    </row>
    <row r="51" ht="15.75" customHeight="1">
      <c r="A51" s="1"/>
      <c r="B51" s="1"/>
      <c r="E51" s="5"/>
      <c r="F51" s="5"/>
      <c r="G51" s="5"/>
      <c r="H51" s="5"/>
      <c r="I51" s="5"/>
      <c r="J51" s="5"/>
      <c r="K51" s="5"/>
      <c r="L51" s="5"/>
      <c r="M51" s="5"/>
    </row>
    <row r="52" ht="15.75" customHeight="1">
      <c r="A52" s="1"/>
      <c r="B52" s="1"/>
      <c r="E52" s="5"/>
      <c r="F52" s="5"/>
      <c r="G52" s="5"/>
      <c r="H52" s="5"/>
      <c r="I52" s="5"/>
      <c r="J52" s="5"/>
      <c r="K52" s="5"/>
      <c r="L52" s="5"/>
      <c r="M52" s="5"/>
    </row>
    <row r="53" ht="15.75" customHeight="1">
      <c r="A53" s="1"/>
      <c r="B53" s="1"/>
      <c r="E53" s="5"/>
      <c r="F53" s="5"/>
      <c r="G53" s="5"/>
      <c r="H53" s="5"/>
      <c r="I53" s="5"/>
      <c r="J53" s="5"/>
      <c r="K53" s="5"/>
      <c r="L53" s="5"/>
      <c r="M53" s="5"/>
    </row>
    <row r="54" ht="15.75" customHeight="1">
      <c r="A54" s="1"/>
      <c r="B54" s="1"/>
      <c r="E54" s="5"/>
      <c r="F54" s="5"/>
      <c r="G54" s="5"/>
      <c r="H54" s="5"/>
      <c r="I54" s="5"/>
      <c r="J54" s="5"/>
      <c r="K54" s="5"/>
      <c r="L54" s="5"/>
      <c r="M54" s="5"/>
    </row>
    <row r="55" ht="15.75" customHeight="1">
      <c r="A55" s="1"/>
      <c r="B55" s="1"/>
      <c r="E55" s="5"/>
      <c r="F55" s="5"/>
      <c r="G55" s="5"/>
      <c r="H55" s="5"/>
      <c r="I55" s="5"/>
      <c r="J55" s="5"/>
      <c r="K55" s="5"/>
      <c r="L55" s="5"/>
      <c r="M55" s="5"/>
    </row>
    <row r="56" ht="15.75" customHeight="1">
      <c r="A56" s="1"/>
      <c r="B56" s="1"/>
      <c r="E56" s="5"/>
      <c r="F56" s="5"/>
      <c r="G56" s="5"/>
      <c r="H56" s="5"/>
      <c r="I56" s="5"/>
      <c r="J56" s="5"/>
      <c r="K56" s="5"/>
      <c r="L56" s="5"/>
      <c r="M56" s="5"/>
    </row>
    <row r="57" ht="15.75" customHeight="1">
      <c r="A57" s="1"/>
      <c r="B57" s="1"/>
      <c r="E57" s="5"/>
      <c r="F57" s="5"/>
      <c r="G57" s="5"/>
      <c r="H57" s="5"/>
      <c r="I57" s="5"/>
      <c r="J57" s="5"/>
      <c r="K57" s="5"/>
      <c r="L57" s="5"/>
      <c r="M57" s="5"/>
    </row>
    <row r="58" ht="15.75" customHeight="1">
      <c r="A58" s="1"/>
      <c r="B58" s="1"/>
      <c r="E58" s="5"/>
      <c r="F58" s="5"/>
      <c r="G58" s="5"/>
      <c r="H58" s="5"/>
      <c r="I58" s="5"/>
      <c r="J58" s="5"/>
      <c r="K58" s="5"/>
      <c r="L58" s="5"/>
      <c r="M58" s="5"/>
    </row>
    <row r="59" ht="15.75" customHeight="1">
      <c r="A59" s="1"/>
      <c r="B59" s="1"/>
      <c r="E59" s="5"/>
      <c r="F59" s="5"/>
      <c r="G59" s="5"/>
      <c r="H59" s="5"/>
      <c r="I59" s="5"/>
      <c r="J59" s="5"/>
      <c r="K59" s="5"/>
      <c r="L59" s="5"/>
      <c r="M59" s="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3:D13"/>
    <mergeCell ref="C24:D24"/>
    <mergeCell ref="C23:D23"/>
    <mergeCell ref="C25:D25"/>
    <mergeCell ref="C26:D26"/>
    <mergeCell ref="C27:D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46E5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2" width="2.1"/>
    <col customWidth="1" min="3" max="3" width="19.6"/>
    <col customWidth="1" min="4" max="4" width="14.0"/>
    <col customWidth="1" min="5" max="5" width="11.0"/>
    <col customWidth="1" min="6" max="6" width="12.6"/>
    <col customWidth="1" min="7" max="7" width="8.4"/>
    <col customWidth="1" min="8" max="8" width="9.8"/>
    <col customWidth="1" min="9" max="9" width="16.8"/>
    <col customWidth="1" min="10" max="10" width="2.1"/>
    <col customWidth="1" min="11" max="25" width="6.1"/>
  </cols>
  <sheetData>
    <row r="1">
      <c r="A1" s="1"/>
      <c r="B1" s="1"/>
      <c r="C1" s="1"/>
      <c r="D1" s="1"/>
      <c r="E1" s="1"/>
      <c r="F1" s="1"/>
      <c r="G1" s="1"/>
      <c r="H1" s="5"/>
      <c r="I1" s="5"/>
      <c r="J1" s="5"/>
      <c r="K1" s="5"/>
      <c r="L1" s="5"/>
      <c r="M1" s="5"/>
      <c r="N1" s="5"/>
    </row>
    <row r="2" ht="7.5" customHeight="1">
      <c r="A2" s="1"/>
      <c r="B2" s="1"/>
      <c r="C2" s="1"/>
      <c r="D2" s="1"/>
      <c r="E2" s="1"/>
      <c r="F2" s="1"/>
      <c r="G2" s="1"/>
      <c r="H2" s="5"/>
      <c r="I2" s="5"/>
      <c r="J2" s="5"/>
      <c r="K2" s="5"/>
      <c r="L2" s="5"/>
      <c r="M2" s="5"/>
      <c r="N2" s="5"/>
    </row>
    <row r="3" ht="37.5" customHeight="1">
      <c r="A3" s="1"/>
      <c r="B3" s="1"/>
      <c r="D3" s="29" t="s">
        <v>18</v>
      </c>
      <c r="E3" s="1"/>
      <c r="F3" s="1"/>
      <c r="G3" s="1"/>
      <c r="H3" s="5"/>
      <c r="I3" s="5"/>
      <c r="J3" s="5"/>
      <c r="K3" s="5"/>
      <c r="L3" s="5"/>
      <c r="M3" s="5"/>
      <c r="N3" s="5"/>
    </row>
    <row r="4" ht="19.5" customHeight="1">
      <c r="A4" s="1"/>
      <c r="B4" s="1"/>
      <c r="C4" s="30"/>
      <c r="D4" s="31"/>
      <c r="E4" s="31"/>
      <c r="F4" s="31"/>
      <c r="G4" s="31"/>
      <c r="H4" s="5"/>
      <c r="I4" s="5"/>
      <c r="J4" s="5"/>
      <c r="K4" s="5"/>
      <c r="L4" s="5"/>
      <c r="M4" s="5"/>
      <c r="N4" s="5"/>
    </row>
    <row r="5">
      <c r="A5" s="1"/>
      <c r="B5" s="1"/>
      <c r="C5" s="1"/>
      <c r="D5" s="1"/>
      <c r="E5" s="1"/>
      <c r="F5" s="1"/>
      <c r="G5" s="1"/>
      <c r="H5" s="5"/>
      <c r="I5" s="5"/>
      <c r="J5" s="5"/>
      <c r="K5" s="5"/>
      <c r="L5" s="5"/>
      <c r="M5" s="5"/>
      <c r="N5" s="5"/>
    </row>
    <row r="6" ht="15.75" customHeight="1">
      <c r="A6" s="1"/>
      <c r="B6" s="1"/>
      <c r="C6" s="32" t="s">
        <v>19</v>
      </c>
      <c r="D6" s="32" t="s">
        <v>20</v>
      </c>
      <c r="E6" s="32" t="s">
        <v>21</v>
      </c>
      <c r="F6" s="32" t="s">
        <v>22</v>
      </c>
      <c r="G6" s="32" t="s">
        <v>23</v>
      </c>
      <c r="H6" s="5"/>
      <c r="I6" s="5"/>
      <c r="J6" s="5"/>
      <c r="K6" s="5"/>
      <c r="L6" s="5"/>
      <c r="M6" s="5"/>
      <c r="N6" s="5"/>
    </row>
    <row r="7" ht="22.5" customHeight="1">
      <c r="A7" s="5"/>
      <c r="B7" s="5"/>
      <c r="C7" s="33"/>
      <c r="D7" s="34"/>
      <c r="E7" s="35"/>
      <c r="F7" s="36"/>
      <c r="G7" s="37"/>
      <c r="H7" s="5"/>
      <c r="I7" s="5"/>
      <c r="J7" s="5"/>
      <c r="K7" s="5"/>
      <c r="L7" s="5"/>
      <c r="M7" s="5"/>
      <c r="N7" s="5"/>
    </row>
    <row r="8" ht="21.75" customHeight="1">
      <c r="A8" s="1"/>
      <c r="B8" s="1"/>
      <c r="C8" s="33"/>
      <c r="D8" s="34"/>
      <c r="E8" s="35"/>
      <c r="F8" s="36"/>
      <c r="G8" s="37"/>
      <c r="H8" s="5"/>
      <c r="I8" s="5"/>
      <c r="J8" s="5"/>
      <c r="K8" s="5"/>
      <c r="L8" s="5"/>
    </row>
    <row r="9" ht="21.75" customHeight="1">
      <c r="A9" s="1"/>
      <c r="B9" s="1"/>
      <c r="C9" s="33"/>
      <c r="D9" s="34"/>
      <c r="E9" s="35"/>
      <c r="F9" s="36"/>
      <c r="G9" s="37"/>
      <c r="H9" s="5"/>
      <c r="I9" s="5"/>
      <c r="J9" s="5"/>
      <c r="K9" s="5"/>
      <c r="L9" s="5"/>
    </row>
    <row r="10" ht="21.75" customHeight="1">
      <c r="A10" s="1"/>
      <c r="B10" s="1"/>
      <c r="C10" s="33"/>
      <c r="D10" s="34"/>
      <c r="E10" s="35"/>
      <c r="F10" s="36"/>
      <c r="G10" s="37"/>
      <c r="H10" s="5"/>
      <c r="I10" s="5"/>
      <c r="J10" s="5"/>
      <c r="K10" s="5"/>
      <c r="L10" s="5"/>
    </row>
    <row r="11" ht="21.75" customHeight="1">
      <c r="A11" s="1"/>
      <c r="B11" s="1"/>
      <c r="C11" s="33"/>
      <c r="D11" s="34"/>
      <c r="E11" s="35"/>
      <c r="F11" s="36"/>
      <c r="G11" s="37"/>
      <c r="H11" s="5"/>
      <c r="I11" s="5"/>
      <c r="J11" s="5"/>
      <c r="K11" s="5"/>
      <c r="L11" s="5"/>
    </row>
    <row r="12" ht="21.75" customHeight="1">
      <c r="A12" s="1"/>
      <c r="B12" s="1"/>
      <c r="C12" s="33"/>
      <c r="D12" s="34"/>
      <c r="E12" s="35"/>
      <c r="F12" s="36"/>
      <c r="G12" s="37"/>
      <c r="H12" s="5"/>
      <c r="I12" s="5"/>
      <c r="J12" s="5"/>
      <c r="K12" s="5"/>
      <c r="L12" s="5"/>
    </row>
    <row r="13" ht="21.75" customHeight="1">
      <c r="A13" s="1"/>
      <c r="B13" s="1"/>
      <c r="C13" s="33"/>
      <c r="D13" s="34"/>
      <c r="E13" s="35"/>
      <c r="F13" s="36"/>
      <c r="G13" s="37"/>
      <c r="H13" s="5"/>
      <c r="I13" s="5"/>
      <c r="J13" s="5"/>
      <c r="K13" s="5"/>
      <c r="L13" s="5"/>
    </row>
    <row r="14" ht="21.75" customHeight="1">
      <c r="A14" s="1"/>
      <c r="B14" s="1"/>
      <c r="C14" s="33"/>
      <c r="D14" s="34"/>
      <c r="E14" s="35"/>
      <c r="F14" s="36"/>
      <c r="G14" s="37"/>
      <c r="H14" s="5"/>
      <c r="I14" s="5"/>
      <c r="J14" s="5"/>
      <c r="K14" s="5"/>
      <c r="L14" s="5"/>
    </row>
    <row r="15" ht="21.75" customHeight="1">
      <c r="A15" s="1"/>
      <c r="B15" s="1"/>
      <c r="C15" s="33"/>
      <c r="D15" s="34"/>
      <c r="E15" s="35"/>
      <c r="F15" s="36"/>
      <c r="G15" s="37"/>
      <c r="H15" s="5"/>
      <c r="I15" s="5"/>
      <c r="J15" s="5"/>
      <c r="K15" s="5"/>
      <c r="L15" s="5"/>
    </row>
    <row r="16" ht="21.75" customHeight="1">
      <c r="A16" s="1"/>
      <c r="B16" s="1"/>
      <c r="C16" s="33"/>
      <c r="D16" s="34"/>
      <c r="E16" s="35"/>
      <c r="F16" s="36"/>
      <c r="G16" s="37"/>
      <c r="H16" s="5"/>
      <c r="I16" s="5"/>
      <c r="J16" s="5"/>
      <c r="K16" s="5"/>
      <c r="L16" s="5"/>
    </row>
    <row r="17" ht="21.75" customHeight="1">
      <c r="A17" s="1"/>
      <c r="B17" s="1"/>
      <c r="C17" s="33"/>
      <c r="D17" s="34"/>
      <c r="E17" s="35"/>
      <c r="F17" s="36"/>
      <c r="G17" s="37"/>
      <c r="H17" s="5"/>
      <c r="I17" s="5"/>
      <c r="J17" s="5"/>
      <c r="K17" s="5"/>
      <c r="L17" s="5"/>
    </row>
    <row r="18" ht="21.75" customHeight="1">
      <c r="A18" s="1"/>
      <c r="B18" s="1"/>
      <c r="C18" s="33"/>
      <c r="D18" s="34"/>
      <c r="E18" s="35"/>
      <c r="F18" s="36"/>
      <c r="G18" s="37"/>
      <c r="H18" s="5"/>
      <c r="I18" s="5"/>
      <c r="J18" s="5"/>
      <c r="K18" s="5"/>
      <c r="L18" s="5"/>
    </row>
    <row r="19" ht="21.75" customHeight="1">
      <c r="A19" s="1"/>
      <c r="B19" s="1"/>
      <c r="G19" s="38"/>
      <c r="H19" s="5"/>
      <c r="I19" s="5"/>
      <c r="J19" s="5"/>
      <c r="K19" s="5"/>
      <c r="L19" s="5"/>
    </row>
    <row r="20" ht="21.75" customHeight="1">
      <c r="A20" s="1"/>
      <c r="B20" s="1"/>
      <c r="H20" s="5"/>
      <c r="I20" s="5"/>
      <c r="J20" s="5"/>
      <c r="K20" s="5"/>
      <c r="L20" s="5"/>
    </row>
    <row r="21" ht="15.75" customHeight="1"/>
  </sheetData>
  <dataValidations>
    <dataValidation type="list" allowBlank="1" sqref="F7:F18">
      <formula1>"On Track,Needs Attention,At Risk,Completed"</formula1>
    </dataValidation>
  </dataValidations>
  <printOptions/>
  <pageMargins bottom="1.0" footer="0.0" header="0.0" left="0.75" right="0.75" top="1.0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1D48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2" width="2.1"/>
    <col customWidth="1" min="3" max="3" width="19.6"/>
    <col customWidth="1" min="4" max="4" width="11.2"/>
    <col customWidth="1" min="5" max="5" width="9.8"/>
    <col customWidth="1" min="6" max="6" width="9.1"/>
    <col customWidth="1" min="7" max="7" width="11.2"/>
    <col customWidth="1" min="8" max="8" width="16.8"/>
    <col customWidth="1" min="9" max="9" width="2.1"/>
    <col customWidth="1" min="10" max="23" width="6.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7.5" customHeight="1">
      <c r="A3" s="1"/>
      <c r="B3" s="1"/>
      <c r="D3" s="39" t="s">
        <v>24</v>
      </c>
      <c r="E3" s="40"/>
      <c r="F3" s="1"/>
      <c r="G3" s="1"/>
      <c r="H3" s="1"/>
      <c r="I3" s="1"/>
      <c r="J3" s="1"/>
      <c r="K3" s="1"/>
      <c r="L3" s="1"/>
    </row>
    <row r="4" ht="19.5" customHeight="1">
      <c r="A4" s="1"/>
      <c r="B4" s="1"/>
      <c r="C4" s="41"/>
      <c r="D4" s="41"/>
      <c r="E4" s="41"/>
      <c r="F4" s="41"/>
      <c r="G4" s="41"/>
      <c r="H4" s="41"/>
      <c r="I4" s="1"/>
      <c r="J4" s="1"/>
      <c r="K4" s="1"/>
      <c r="L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32.25" customHeight="1">
      <c r="A6" s="1"/>
      <c r="B6" s="1"/>
      <c r="C6" s="42" t="s">
        <v>25</v>
      </c>
      <c r="D6" s="42" t="s">
        <v>26</v>
      </c>
      <c r="E6" s="43" t="s">
        <v>27</v>
      </c>
      <c r="F6" s="42" t="s">
        <v>28</v>
      </c>
      <c r="G6" s="44" t="s">
        <v>29</v>
      </c>
      <c r="H6" s="42" t="s">
        <v>23</v>
      </c>
      <c r="I6" s="1"/>
      <c r="J6" s="1"/>
      <c r="K6" s="1"/>
      <c r="L6" s="1"/>
    </row>
    <row r="7" ht="21.75" customHeight="1">
      <c r="A7" s="1"/>
      <c r="B7" s="1"/>
      <c r="C7" s="34"/>
      <c r="D7" s="45"/>
      <c r="E7" s="46"/>
      <c r="F7" s="47" t="str">
        <f t="shared" ref="F7:F18" si="1">IFERROR(IF(E7="","",DATEVALUE(E7)-TODAY()),"")</f>
        <v/>
      </c>
      <c r="G7" s="33"/>
      <c r="H7" s="48"/>
      <c r="I7" s="1"/>
      <c r="J7" s="1"/>
      <c r="K7" s="1"/>
      <c r="L7" s="1"/>
    </row>
    <row r="8" ht="21.75" customHeight="1">
      <c r="A8" s="1"/>
      <c r="B8" s="1"/>
      <c r="C8" s="34"/>
      <c r="D8" s="45"/>
      <c r="E8" s="46"/>
      <c r="F8" s="49" t="str">
        <f t="shared" si="1"/>
        <v/>
      </c>
      <c r="G8" s="33"/>
      <c r="H8" s="48"/>
      <c r="I8" s="1"/>
      <c r="J8" s="1"/>
      <c r="K8" s="1"/>
      <c r="L8" s="1"/>
    </row>
    <row r="9" ht="21.75" customHeight="1">
      <c r="A9" s="1"/>
      <c r="B9" s="1"/>
      <c r="C9" s="34"/>
      <c r="D9" s="45"/>
      <c r="E9" s="46"/>
      <c r="F9" s="47" t="str">
        <f t="shared" si="1"/>
        <v/>
      </c>
      <c r="G9" s="33"/>
      <c r="H9" s="48"/>
      <c r="I9" s="1"/>
      <c r="J9" s="1"/>
      <c r="K9" s="1"/>
      <c r="L9" s="1"/>
    </row>
    <row r="10" ht="21.75" customHeight="1">
      <c r="A10" s="1"/>
      <c r="B10" s="1"/>
      <c r="C10" s="34"/>
      <c r="D10" s="45"/>
      <c r="E10" s="46"/>
      <c r="F10" s="49" t="str">
        <f t="shared" si="1"/>
        <v/>
      </c>
      <c r="G10" s="33"/>
      <c r="H10" s="48"/>
      <c r="I10" s="1"/>
      <c r="J10" s="1"/>
      <c r="K10" s="1"/>
      <c r="L10" s="1"/>
    </row>
    <row r="11" ht="21.75" customHeight="1">
      <c r="A11" s="1"/>
      <c r="B11" s="1"/>
      <c r="C11" s="34"/>
      <c r="D11" s="45"/>
      <c r="E11" s="46"/>
      <c r="F11" s="47" t="str">
        <f t="shared" si="1"/>
        <v/>
      </c>
      <c r="G11" s="33"/>
      <c r="H11" s="48"/>
      <c r="I11" s="1"/>
      <c r="J11" s="1"/>
      <c r="K11" s="1"/>
      <c r="L11" s="1"/>
    </row>
    <row r="12" ht="21.75" customHeight="1">
      <c r="A12" s="1"/>
      <c r="B12" s="1"/>
      <c r="C12" s="34"/>
      <c r="D12" s="45"/>
      <c r="E12" s="46"/>
      <c r="F12" s="49" t="str">
        <f t="shared" si="1"/>
        <v/>
      </c>
      <c r="G12" s="33"/>
      <c r="H12" s="48"/>
      <c r="I12" s="1"/>
      <c r="J12" s="1"/>
      <c r="K12" s="1"/>
      <c r="L12" s="1"/>
    </row>
    <row r="13" ht="21.75" customHeight="1">
      <c r="A13" s="1"/>
      <c r="B13" s="1"/>
      <c r="C13" s="34"/>
      <c r="D13" s="45"/>
      <c r="E13" s="46"/>
      <c r="F13" s="47" t="str">
        <f t="shared" si="1"/>
        <v/>
      </c>
      <c r="G13" s="33"/>
      <c r="H13" s="48"/>
      <c r="I13" s="1"/>
      <c r="J13" s="1"/>
      <c r="K13" s="1"/>
      <c r="L13" s="1"/>
    </row>
    <row r="14" ht="21.75" customHeight="1">
      <c r="A14" s="1"/>
      <c r="B14" s="1"/>
      <c r="C14" s="34"/>
      <c r="D14" s="45"/>
      <c r="E14" s="46"/>
      <c r="F14" s="49" t="str">
        <f t="shared" si="1"/>
        <v/>
      </c>
      <c r="G14" s="33"/>
      <c r="H14" s="48"/>
      <c r="I14" s="1"/>
      <c r="J14" s="1"/>
      <c r="K14" s="1"/>
      <c r="L14" s="1"/>
    </row>
    <row r="15" ht="21.75" customHeight="1">
      <c r="A15" s="1"/>
      <c r="B15" s="1"/>
      <c r="C15" s="34"/>
      <c r="D15" s="45"/>
      <c r="E15" s="46"/>
      <c r="F15" s="47" t="str">
        <f t="shared" si="1"/>
        <v/>
      </c>
      <c r="G15" s="33"/>
      <c r="H15" s="48"/>
      <c r="I15" s="1"/>
      <c r="J15" s="1"/>
      <c r="K15" s="1"/>
      <c r="L15" s="1"/>
    </row>
    <row r="16" ht="21.75" customHeight="1">
      <c r="A16" s="1"/>
      <c r="B16" s="1"/>
      <c r="C16" s="34"/>
      <c r="D16" s="45"/>
      <c r="E16" s="46"/>
      <c r="F16" s="49" t="str">
        <f t="shared" si="1"/>
        <v/>
      </c>
      <c r="G16" s="33"/>
      <c r="H16" s="48"/>
      <c r="I16" s="1"/>
      <c r="J16" s="1"/>
      <c r="K16" s="1"/>
      <c r="L16" s="1"/>
    </row>
    <row r="17" ht="21.75" customHeight="1">
      <c r="A17" s="1"/>
      <c r="B17" s="1"/>
      <c r="C17" s="34"/>
      <c r="D17" s="45"/>
      <c r="E17" s="46"/>
      <c r="F17" s="47" t="str">
        <f t="shared" si="1"/>
        <v/>
      </c>
      <c r="G17" s="33"/>
      <c r="H17" s="48"/>
      <c r="I17" s="1"/>
      <c r="J17" s="1"/>
      <c r="K17" s="1"/>
      <c r="L17" s="1"/>
    </row>
    <row r="18" ht="21.75" customHeight="1">
      <c r="A18" s="1"/>
      <c r="B18" s="1"/>
      <c r="C18" s="34"/>
      <c r="D18" s="45"/>
      <c r="E18" s="46"/>
      <c r="F18" s="47" t="str">
        <f t="shared" si="1"/>
        <v/>
      </c>
      <c r="G18" s="33"/>
      <c r="H18" s="48"/>
      <c r="I18" s="1"/>
      <c r="J18" s="1"/>
      <c r="K18" s="1"/>
      <c r="L18" s="1"/>
    </row>
    <row r="19" ht="21.75" customHeight="1">
      <c r="A19" s="1"/>
      <c r="B19" s="1"/>
      <c r="I19" s="1"/>
      <c r="J19" s="1"/>
      <c r="K19" s="1"/>
      <c r="L19" s="1"/>
    </row>
    <row r="20" ht="21.75" customHeight="1">
      <c r="A20" s="1"/>
      <c r="B20" s="1"/>
      <c r="I20" s="1"/>
      <c r="J20" s="1"/>
      <c r="K20" s="1"/>
      <c r="L20" s="1"/>
    </row>
    <row r="21" ht="15.75" customHeight="1">
      <c r="A21" s="1"/>
      <c r="B21" s="1"/>
      <c r="I21" s="1"/>
      <c r="J21" s="1"/>
      <c r="K21" s="1"/>
      <c r="L21" s="1"/>
    </row>
    <row r="22" ht="15.75" customHeight="1">
      <c r="A22" s="1"/>
      <c r="B22" s="1"/>
      <c r="I22" s="1"/>
      <c r="J22" s="1"/>
      <c r="K22" s="1"/>
      <c r="L22" s="1"/>
    </row>
    <row r="23" ht="15.75" customHeight="1">
      <c r="A23" s="1"/>
      <c r="B23" s="1"/>
      <c r="I23" s="1"/>
      <c r="J23" s="1"/>
      <c r="K23" s="1"/>
      <c r="L23" s="1"/>
    </row>
    <row r="24" ht="15.75" customHeight="1">
      <c r="A24" s="1"/>
      <c r="B24" s="1"/>
      <c r="I24" s="1"/>
      <c r="J24" s="1"/>
      <c r="K24" s="1"/>
      <c r="L24" s="1"/>
    </row>
    <row r="25" ht="15.75" customHeight="1">
      <c r="A25" s="1"/>
      <c r="B25" s="1"/>
      <c r="I25" s="1"/>
      <c r="J25" s="1"/>
      <c r="K25" s="1"/>
      <c r="L25" s="1"/>
    </row>
    <row r="26" ht="15.75" customHeight="1">
      <c r="A26" s="1"/>
      <c r="B26" s="1"/>
      <c r="I26" s="1"/>
      <c r="J26" s="1"/>
      <c r="K26" s="1"/>
      <c r="L26" s="1"/>
    </row>
    <row r="27" ht="15.75" customHeight="1">
      <c r="A27" s="1"/>
      <c r="B27" s="1"/>
      <c r="I27" s="1"/>
      <c r="J27" s="1"/>
      <c r="K27" s="1"/>
      <c r="L27" s="1"/>
    </row>
    <row r="28" ht="15.75" customHeight="1">
      <c r="A28" s="1"/>
      <c r="B28" s="1"/>
      <c r="I28" s="1"/>
      <c r="J28" s="1"/>
      <c r="K28" s="1"/>
      <c r="L28" s="1"/>
    </row>
    <row r="29" ht="15.75" customHeight="1">
      <c r="A29" s="1"/>
      <c r="B29" s="1"/>
      <c r="I29" s="1"/>
      <c r="J29" s="1"/>
      <c r="K29" s="1"/>
      <c r="L29" s="1"/>
    </row>
    <row r="30" ht="15.75" customHeight="1">
      <c r="A30" s="1"/>
      <c r="B30" s="1"/>
      <c r="I30" s="1"/>
      <c r="J30" s="1"/>
      <c r="K30" s="1"/>
      <c r="L30" s="1"/>
    </row>
    <row r="31" ht="15.75" customHeight="1">
      <c r="A31" s="1"/>
      <c r="B31" s="1"/>
      <c r="I31" s="1"/>
      <c r="J31" s="1"/>
      <c r="K31" s="1"/>
      <c r="L31" s="1"/>
    </row>
    <row r="32" ht="15.75" customHeight="1">
      <c r="A32" s="1"/>
      <c r="B32" s="1"/>
      <c r="I32" s="1"/>
      <c r="J32" s="1"/>
      <c r="K32" s="1"/>
      <c r="L32" s="1"/>
    </row>
    <row r="33" ht="15.75" customHeight="1">
      <c r="A33" s="1"/>
      <c r="B33" s="1"/>
      <c r="I33" s="1"/>
      <c r="J33" s="1"/>
      <c r="K33" s="1"/>
      <c r="L33" s="1"/>
    </row>
    <row r="34" ht="15.75" customHeight="1">
      <c r="A34" s="1"/>
      <c r="B34" s="1"/>
      <c r="I34" s="1"/>
      <c r="J34" s="1"/>
      <c r="K34" s="1"/>
      <c r="L34" s="1"/>
    </row>
    <row r="35" ht="15.75" customHeight="1">
      <c r="A35" s="1"/>
      <c r="B35" s="1"/>
      <c r="I35" s="1"/>
      <c r="J35" s="1"/>
      <c r="K35" s="1"/>
      <c r="L35" s="1"/>
    </row>
    <row r="36" ht="15.75" customHeight="1">
      <c r="A36" s="1"/>
      <c r="B36" s="1"/>
      <c r="I36" s="1"/>
      <c r="J36" s="1"/>
      <c r="K36" s="1"/>
      <c r="L36" s="1"/>
    </row>
    <row r="37" ht="15.75" customHeight="1">
      <c r="A37" s="1"/>
      <c r="B37" s="1"/>
      <c r="I37" s="1"/>
      <c r="J37" s="1"/>
      <c r="K37" s="1"/>
      <c r="L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dataValidations>
    <dataValidation type="list" allowBlank="1" sqref="D7:D18">
      <formula1>"Midterm,Final,Quiz,Assignment,Project,Presentation,Lab Report,Essay,Other"</formula1>
    </dataValidation>
    <dataValidation type="list" allowBlank="1" sqref="G7:G18">
      <formula1>"Not Started,Planning,Studying,Almost Ready,Ready,Done"</formula1>
    </dataValidation>
  </dataValidations>
  <printOptions/>
  <pageMargins bottom="1.0" footer="0.0" header="0.0" left="0.75" right="0.75" top="1.0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2" width="2.1"/>
    <col customWidth="1" min="3" max="3" width="18.2"/>
    <col customWidth="1" min="4" max="4" width="11.2"/>
    <col customWidth="1" min="5" max="5" width="10.5"/>
    <col customWidth="1" min="6" max="6" width="9.0"/>
    <col customWidth="1" min="7" max="7" width="9.8"/>
    <col customWidth="1" min="8" max="8" width="8.4"/>
    <col customWidth="1" min="9" max="9" width="18.2"/>
    <col customWidth="1" min="10" max="10" width="2.1"/>
    <col customWidth="1" min="11" max="26" width="6.1"/>
  </cols>
  <sheetData>
    <row r="1">
      <c r="A1" s="1"/>
      <c r="B1" s="1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7.5" customHeight="1">
      <c r="A2" s="1"/>
      <c r="B2" s="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37.5" customHeight="1">
      <c r="A3" s="1"/>
      <c r="B3" s="1"/>
      <c r="D3" s="50"/>
      <c r="F3" s="51" t="s">
        <v>30</v>
      </c>
      <c r="G3" s="52"/>
      <c r="H3" s="5"/>
      <c r="I3" s="5"/>
      <c r="J3" s="5"/>
      <c r="K3" s="5"/>
      <c r="L3" s="5"/>
      <c r="M3" s="5"/>
    </row>
    <row r="4" ht="19.5" customHeight="1">
      <c r="A4" s="1"/>
      <c r="B4" s="1"/>
      <c r="C4" s="53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1"/>
      <c r="B5" s="1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20.25" customHeight="1">
      <c r="A6" s="1"/>
      <c r="B6" s="1"/>
      <c r="C6" s="5"/>
      <c r="D6" s="5"/>
      <c r="I6" s="5"/>
      <c r="J6" s="1"/>
      <c r="K6" s="1"/>
      <c r="L6" s="1"/>
      <c r="M6" s="1"/>
    </row>
    <row r="7" ht="21.0" customHeight="1">
      <c r="A7" s="1"/>
      <c r="B7" s="1"/>
      <c r="C7" s="5"/>
      <c r="D7" s="5"/>
      <c r="I7" s="5"/>
      <c r="J7" s="1"/>
      <c r="K7" s="1"/>
      <c r="L7" s="1"/>
      <c r="M7" s="1"/>
    </row>
    <row r="8" ht="21.75" customHeight="1">
      <c r="A8" s="1"/>
      <c r="B8" s="1"/>
      <c r="E8" s="54" t="s">
        <v>31</v>
      </c>
      <c r="F8" s="55" t="s">
        <v>32</v>
      </c>
      <c r="G8" s="56" t="s">
        <v>33</v>
      </c>
      <c r="H8" s="57" t="s">
        <v>34</v>
      </c>
      <c r="I8" s="1"/>
      <c r="J8" s="1"/>
      <c r="K8" s="1"/>
      <c r="L8" s="1"/>
      <c r="M8" s="1"/>
    </row>
    <row r="9" ht="27.75" customHeight="1">
      <c r="A9" s="1"/>
      <c r="B9" s="1"/>
      <c r="E9" s="58">
        <f>IFERROR(SUM(F12:F20),0)</f>
        <v>0</v>
      </c>
      <c r="F9" s="59">
        <f>COUNTA(C12:C20)</f>
        <v>1</v>
      </c>
      <c r="G9" s="60">
        <f>IFERROR(SUMIF(E12:E20,"&gt;="&amp;(TODAY()-WEEKDAY(TODAY(),2)+1),F12:F20),0)</f>
        <v>0</v>
      </c>
      <c r="H9" s="61">
        <f>IFERROR(MAX(F12:F20),0)</f>
        <v>0</v>
      </c>
      <c r="I9" s="1"/>
      <c r="J9" s="1"/>
      <c r="K9" s="1"/>
      <c r="L9" s="1"/>
      <c r="M9" s="1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6.5" customHeight="1">
      <c r="A11" s="1"/>
      <c r="B11" s="1"/>
      <c r="C11" s="41"/>
      <c r="D11" s="41"/>
      <c r="E11" s="41"/>
      <c r="F11" s="41"/>
      <c r="G11" s="41"/>
      <c r="H11" s="41"/>
      <c r="I11" s="41"/>
      <c r="J11" s="1"/>
      <c r="K11" s="1"/>
      <c r="L11" s="1"/>
      <c r="M11" s="1"/>
    </row>
    <row r="12" ht="21.75" customHeight="1">
      <c r="A12" s="1"/>
      <c r="B12" s="1"/>
      <c r="C12" s="62" t="s">
        <v>25</v>
      </c>
      <c r="D12" s="32" t="s">
        <v>35</v>
      </c>
      <c r="E12" s="63" t="s">
        <v>27</v>
      </c>
      <c r="F12" s="32" t="s">
        <v>36</v>
      </c>
      <c r="G12" s="32" t="s">
        <v>37</v>
      </c>
      <c r="H12" s="32" t="s">
        <v>38</v>
      </c>
      <c r="I12" s="32" t="s">
        <v>23</v>
      </c>
      <c r="J12" s="1"/>
      <c r="K12" s="1"/>
      <c r="L12" s="1"/>
      <c r="M12" s="1"/>
    </row>
    <row r="13" ht="19.5" customHeight="1">
      <c r="A13" s="1"/>
      <c r="B13" s="1"/>
      <c r="C13" s="46"/>
      <c r="D13" s="46"/>
      <c r="E13" s="46"/>
      <c r="F13" s="64"/>
      <c r="G13" s="46"/>
      <c r="H13" s="46"/>
      <c r="I13" s="46"/>
      <c r="J13" s="1"/>
      <c r="K13" s="1"/>
      <c r="L13" s="1"/>
      <c r="M13" s="1"/>
    </row>
    <row r="14" ht="19.5" customHeight="1">
      <c r="A14" s="1"/>
      <c r="B14" s="1"/>
      <c r="C14" s="46"/>
      <c r="D14" s="46"/>
      <c r="E14" s="46"/>
      <c r="F14" s="64"/>
      <c r="G14" s="46"/>
      <c r="H14" s="46"/>
      <c r="I14" s="46"/>
      <c r="J14" s="1"/>
      <c r="K14" s="1"/>
      <c r="L14" s="1"/>
      <c r="M14" s="1"/>
    </row>
    <row r="15" ht="19.5" customHeight="1">
      <c r="A15" s="1"/>
      <c r="B15" s="1"/>
      <c r="C15" s="46"/>
      <c r="D15" s="46"/>
      <c r="E15" s="46"/>
      <c r="F15" s="64"/>
      <c r="G15" s="46"/>
      <c r="H15" s="46"/>
      <c r="I15" s="46"/>
      <c r="J15" s="1"/>
      <c r="K15" s="1"/>
      <c r="L15" s="1"/>
      <c r="M15" s="1"/>
    </row>
    <row r="16" ht="19.5" customHeight="1">
      <c r="A16" s="1"/>
      <c r="B16" s="1"/>
      <c r="C16" s="46"/>
      <c r="D16" s="46"/>
      <c r="E16" s="46"/>
      <c r="F16" s="64"/>
      <c r="G16" s="46"/>
      <c r="H16" s="46"/>
      <c r="I16" s="46"/>
      <c r="J16" s="1"/>
      <c r="K16" s="1"/>
      <c r="L16" s="1"/>
      <c r="M16" s="1"/>
    </row>
    <row r="17" ht="19.5" customHeight="1">
      <c r="A17" s="1"/>
      <c r="B17" s="1"/>
      <c r="C17" s="46"/>
      <c r="D17" s="46"/>
      <c r="E17" s="46"/>
      <c r="F17" s="64"/>
      <c r="G17" s="46"/>
      <c r="H17" s="46"/>
      <c r="I17" s="46"/>
      <c r="J17" s="1"/>
      <c r="K17" s="1"/>
      <c r="L17" s="1"/>
      <c r="M17" s="1"/>
    </row>
    <row r="18" ht="19.5" customHeight="1">
      <c r="A18" s="1"/>
      <c r="B18" s="1"/>
      <c r="C18" s="46"/>
      <c r="D18" s="46"/>
      <c r="E18" s="46"/>
      <c r="F18" s="64"/>
      <c r="G18" s="46"/>
      <c r="H18" s="46"/>
      <c r="I18" s="46"/>
      <c r="J18" s="1"/>
      <c r="K18" s="1"/>
      <c r="L18" s="1"/>
      <c r="M18" s="1"/>
    </row>
    <row r="19" ht="19.5" customHeight="1">
      <c r="A19" s="1"/>
      <c r="B19" s="1"/>
      <c r="C19" s="46"/>
      <c r="D19" s="46"/>
      <c r="E19" s="46"/>
      <c r="F19" s="64"/>
      <c r="G19" s="46"/>
      <c r="H19" s="46"/>
      <c r="I19" s="46"/>
      <c r="J19" s="1"/>
      <c r="K19" s="1"/>
      <c r="L19" s="1"/>
      <c r="M19" s="1"/>
    </row>
    <row r="20" ht="19.5" customHeight="1">
      <c r="A20" s="1"/>
      <c r="B20" s="1"/>
      <c r="C20" s="46"/>
      <c r="D20" s="46"/>
      <c r="E20" s="46"/>
      <c r="F20" s="64"/>
      <c r="G20" s="46"/>
      <c r="H20" s="46"/>
      <c r="I20" s="46"/>
      <c r="J20" s="1"/>
      <c r="K20" s="1"/>
      <c r="L20" s="1"/>
      <c r="M20" s="1"/>
      <c r="P20" s="38"/>
      <c r="Q20" s="38"/>
      <c r="R20" s="38"/>
    </row>
  </sheetData>
  <dataValidations>
    <dataValidation type="list" allowBlank="1" sqref="D13:D20">
      <formula1>"Lecture Review,Assignment,Exam Prep,Reading,Group Study,Project Work,Lab,Research,Practice Problems,Other"</formula1>
    </dataValidation>
    <dataValidation type="list" allowBlank="1" sqref="H13:H20">
      <formula1>"High,Medium,Low"</formula1>
    </dataValidation>
    <dataValidation type="list" allowBlank="1" sqref="G13:G20">
      <formula1>"Library,Home,Lab,Cafe,Study Room,Online,Classroom,Other"</formula1>
    </dataValidation>
  </dataValidations>
  <printOptions/>
  <pageMargins bottom="1.0" footer="0.0" header="0.0" left="0.75" right="0.75" top="1.0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0.1" defaultRowHeight="15.0"/>
  <cols>
    <col customWidth="1" min="1" max="2" width="2.1"/>
    <col customWidth="1" min="3" max="3" width="9.8"/>
    <col customWidth="1" min="4" max="10" width="13.3"/>
    <col customWidth="1" min="11" max="11" width="2.1"/>
    <col customWidth="1" min="12" max="26" width="6.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7.5" customHeight="1">
      <c r="A3" s="1"/>
      <c r="B3" s="1"/>
      <c r="E3" s="1"/>
      <c r="F3" s="65" t="s">
        <v>39</v>
      </c>
      <c r="G3" s="1"/>
      <c r="H3" s="1"/>
      <c r="I3" s="1"/>
      <c r="J3" s="1"/>
      <c r="K3" s="1"/>
      <c r="L3" s="1"/>
      <c r="M3" s="1"/>
    </row>
    <row r="4" ht="19.5" customHeight="1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.5" customHeight="1">
      <c r="A6" s="1"/>
      <c r="B6" s="1"/>
      <c r="C6" s="41"/>
      <c r="D6" s="41"/>
      <c r="E6" s="41"/>
      <c r="F6" s="41"/>
      <c r="G6" s="41"/>
      <c r="H6" s="41"/>
      <c r="I6" s="41"/>
      <c r="J6" s="41"/>
      <c r="K6" s="1"/>
      <c r="L6" s="1"/>
      <c r="M6" s="1"/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13.5" customHeight="1">
      <c r="A8" s="1"/>
      <c r="B8" s="1"/>
      <c r="C8" s="66" t="s">
        <v>40</v>
      </c>
      <c r="D8" s="1"/>
      <c r="E8" s="67" t="s">
        <v>41</v>
      </c>
      <c r="F8" s="68"/>
      <c r="G8" s="14"/>
      <c r="H8" s="1"/>
      <c r="I8" s="1"/>
      <c r="J8" s="1"/>
      <c r="K8" s="1"/>
      <c r="L8" s="1"/>
      <c r="M8" s="1"/>
    </row>
    <row r="9" ht="25.5" customHeight="1">
      <c r="A9" s="1"/>
      <c r="B9" s="1"/>
      <c r="C9" s="69">
        <v>46075.0</v>
      </c>
      <c r="D9" s="1"/>
      <c r="E9" s="70">
        <f>IFERROR(COUNTA(D13:J42)*1,"—")</f>
        <v>21</v>
      </c>
      <c r="F9" s="1"/>
      <c r="G9" s="1"/>
      <c r="H9" s="1"/>
      <c r="I9" s="1"/>
      <c r="J9" s="1"/>
      <c r="K9" s="1"/>
      <c r="L9" s="1"/>
      <c r="M9" s="1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21.75" customHeight="1">
      <c r="A11" s="1"/>
      <c r="B11" s="1"/>
      <c r="C11" s="71" t="s">
        <v>42</v>
      </c>
      <c r="D11" s="72" t="s">
        <v>43</v>
      </c>
      <c r="E11" s="72" t="s">
        <v>44</v>
      </c>
      <c r="F11" s="72" t="s">
        <v>45</v>
      </c>
      <c r="G11" s="72" t="s">
        <v>46</v>
      </c>
      <c r="H11" s="72" t="s">
        <v>47</v>
      </c>
      <c r="I11" s="72" t="s">
        <v>48</v>
      </c>
      <c r="J11" s="72" t="s">
        <v>49</v>
      </c>
      <c r="K11" s="1"/>
      <c r="L11" s="1"/>
      <c r="M11" s="1"/>
    </row>
    <row r="12" ht="13.5" customHeight="1">
      <c r="A12" s="1"/>
      <c r="B12" s="1"/>
      <c r="C12" s="1"/>
      <c r="D12" s="73" t="str">
        <f>IFERROR(TEXT(C9+0,"DD MMM"),"")</f>
        <v>22 Feb</v>
      </c>
      <c r="E12" s="73" t="str">
        <f>IFERROR(TEXT(C9+1,"DD MMM"),"")</f>
        <v>23 Feb</v>
      </c>
      <c r="F12" s="73" t="str">
        <f>IFERROR(TEXT(C9+2,"DD MMM"),"")</f>
        <v>24 Feb</v>
      </c>
      <c r="G12" s="73" t="str">
        <f>IFERROR(TEXT(C9+3,"DD MMM"),"")</f>
        <v>25 Feb</v>
      </c>
      <c r="H12" s="73" t="str">
        <f>IFERROR(TEXT(C9+4,"DD MMM"),"")</f>
        <v>26 Feb</v>
      </c>
      <c r="I12" s="73" t="str">
        <f>IFERROR(TEXT(C9+5,"DD MMM"),"")</f>
        <v>27 Feb</v>
      </c>
      <c r="J12" s="73" t="str">
        <f>IFERROR(TEXT(C9+6,"DD MMM"),"")</f>
        <v>28 Feb</v>
      </c>
      <c r="K12" s="1"/>
      <c r="L12" s="1"/>
      <c r="M12" s="1"/>
    </row>
    <row r="13" ht="24.0" customHeight="1">
      <c r="A13" s="1"/>
      <c r="B13" s="1"/>
      <c r="C13" s="71" t="s">
        <v>50</v>
      </c>
      <c r="D13" s="74"/>
      <c r="E13" s="74"/>
      <c r="F13" s="74"/>
      <c r="G13" s="74"/>
      <c r="H13" s="74"/>
      <c r="I13" s="74"/>
      <c r="J13" s="74"/>
      <c r="K13" s="1"/>
      <c r="L13" s="1"/>
      <c r="M13" s="1"/>
    </row>
    <row r="14" ht="24.0" customHeight="1">
      <c r="A14" s="1"/>
      <c r="B14" s="1"/>
      <c r="C14" s="71" t="s">
        <v>51</v>
      </c>
      <c r="D14" s="75"/>
      <c r="E14" s="75"/>
      <c r="F14" s="75"/>
      <c r="G14" s="75"/>
      <c r="H14" s="75"/>
      <c r="I14" s="75"/>
      <c r="J14" s="75"/>
      <c r="K14" s="1"/>
      <c r="L14" s="1"/>
      <c r="M14" s="1"/>
    </row>
    <row r="15" ht="24.0" customHeight="1">
      <c r="A15" s="1"/>
      <c r="B15" s="1"/>
      <c r="C15" s="71" t="s">
        <v>52</v>
      </c>
      <c r="D15" s="74"/>
      <c r="E15" s="74"/>
      <c r="F15" s="74"/>
      <c r="G15" s="74"/>
      <c r="H15" s="74"/>
      <c r="I15" s="74"/>
      <c r="J15" s="74"/>
      <c r="K15" s="1"/>
      <c r="L15" s="1"/>
      <c r="M15" s="1"/>
    </row>
    <row r="16" ht="24.0" customHeight="1">
      <c r="A16" s="1"/>
      <c r="B16" s="1"/>
      <c r="C16" s="71" t="s">
        <v>53</v>
      </c>
      <c r="D16" s="75"/>
      <c r="E16" s="75"/>
      <c r="F16" s="75"/>
      <c r="G16" s="75"/>
      <c r="H16" s="75"/>
      <c r="I16" s="75"/>
      <c r="J16" s="75"/>
      <c r="K16" s="1"/>
      <c r="L16" s="1"/>
      <c r="M16" s="1"/>
    </row>
    <row r="17" ht="24.0" customHeight="1">
      <c r="A17" s="1"/>
      <c r="B17" s="1"/>
      <c r="C17" s="71" t="s">
        <v>54</v>
      </c>
      <c r="D17" s="74"/>
      <c r="E17" s="74"/>
      <c r="F17" s="74"/>
      <c r="G17" s="74"/>
      <c r="H17" s="74"/>
      <c r="I17" s="74"/>
      <c r="J17" s="74"/>
      <c r="K17" s="1"/>
      <c r="L17" s="1"/>
      <c r="M17" s="1"/>
    </row>
    <row r="18" ht="24.0" customHeight="1">
      <c r="A18" s="1"/>
      <c r="B18" s="1"/>
      <c r="C18" s="71" t="s">
        <v>55</v>
      </c>
      <c r="D18" s="75"/>
      <c r="E18" s="75"/>
      <c r="F18" s="75"/>
      <c r="G18" s="75"/>
      <c r="H18" s="75"/>
      <c r="I18" s="75"/>
      <c r="J18" s="75"/>
      <c r="K18" s="1"/>
      <c r="L18" s="1"/>
      <c r="M18" s="1"/>
    </row>
    <row r="19" ht="24.0" customHeight="1">
      <c r="A19" s="1"/>
      <c r="B19" s="1"/>
      <c r="C19" s="71" t="s">
        <v>56</v>
      </c>
      <c r="D19" s="74"/>
      <c r="E19" s="74"/>
      <c r="F19" s="74"/>
      <c r="G19" s="74"/>
      <c r="H19" s="74"/>
      <c r="I19" s="74"/>
      <c r="J19" s="74"/>
      <c r="K19" s="1"/>
      <c r="L19" s="1"/>
      <c r="M19" s="1"/>
    </row>
    <row r="20" ht="24.0" customHeight="1">
      <c r="A20" s="1"/>
      <c r="B20" s="1"/>
      <c r="C20" s="71" t="s">
        <v>57</v>
      </c>
      <c r="D20" s="75"/>
      <c r="E20" s="75"/>
      <c r="F20" s="75"/>
      <c r="G20" s="75"/>
      <c r="H20" s="75"/>
      <c r="I20" s="75"/>
      <c r="J20" s="75"/>
      <c r="K20" s="1"/>
      <c r="L20" s="1"/>
      <c r="M20" s="1"/>
    </row>
    <row r="21" ht="24.0" customHeight="1">
      <c r="A21" s="1"/>
      <c r="B21" s="1"/>
      <c r="C21" s="71" t="s">
        <v>58</v>
      </c>
      <c r="D21" s="74"/>
      <c r="E21" s="74"/>
      <c r="F21" s="74"/>
      <c r="G21" s="74"/>
      <c r="H21" s="74"/>
      <c r="I21" s="74"/>
      <c r="J21" s="74"/>
      <c r="K21" s="1"/>
      <c r="L21" s="1"/>
      <c r="M21" s="1"/>
    </row>
    <row r="22" ht="24.0" customHeight="1">
      <c r="A22" s="1"/>
      <c r="B22" s="1"/>
      <c r="C22" s="71" t="s">
        <v>59</v>
      </c>
      <c r="D22" s="75"/>
      <c r="E22" s="75"/>
      <c r="F22" s="75"/>
      <c r="G22" s="75"/>
      <c r="H22" s="75"/>
      <c r="I22" s="75"/>
      <c r="J22" s="75"/>
      <c r="K22" s="1"/>
      <c r="L22" s="1"/>
      <c r="M22" s="1"/>
    </row>
    <row r="23" ht="24.0" customHeight="1">
      <c r="A23" s="1"/>
      <c r="B23" s="1"/>
      <c r="C23" s="71" t="s">
        <v>60</v>
      </c>
      <c r="D23" s="74"/>
      <c r="E23" s="74"/>
      <c r="F23" s="74"/>
      <c r="G23" s="74"/>
      <c r="H23" s="74"/>
      <c r="I23" s="74"/>
      <c r="J23" s="74"/>
      <c r="K23" s="1"/>
      <c r="L23" s="1"/>
      <c r="M23" s="1"/>
    </row>
    <row r="24" ht="24.0" customHeight="1">
      <c r="A24" s="1"/>
      <c r="B24" s="1"/>
      <c r="C24" s="71" t="s">
        <v>61</v>
      </c>
      <c r="D24" s="75"/>
      <c r="E24" s="75"/>
      <c r="F24" s="75"/>
      <c r="G24" s="75"/>
      <c r="H24" s="75"/>
      <c r="I24" s="75"/>
      <c r="J24" s="75"/>
      <c r="K24" s="1"/>
      <c r="L24" s="1"/>
      <c r="M24" s="1"/>
    </row>
    <row r="25" ht="24.0" customHeight="1">
      <c r="A25" s="1"/>
      <c r="B25" s="1"/>
      <c r="C25" s="71" t="s">
        <v>62</v>
      </c>
      <c r="D25" s="74"/>
      <c r="E25" s="74"/>
      <c r="F25" s="74"/>
      <c r="G25" s="74"/>
      <c r="H25" s="74"/>
      <c r="I25" s="74"/>
      <c r="J25" s="74"/>
      <c r="K25" s="1"/>
      <c r="L25" s="1"/>
      <c r="M25" s="1"/>
    </row>
    <row r="26" ht="24.0" customHeight="1">
      <c r="A26" s="1"/>
      <c r="B26" s="1"/>
      <c r="C26" s="71" t="s">
        <v>63</v>
      </c>
      <c r="D26" s="75"/>
      <c r="E26" s="75"/>
      <c r="F26" s="75"/>
      <c r="G26" s="75"/>
      <c r="H26" s="75"/>
      <c r="I26" s="75"/>
      <c r="J26" s="75"/>
      <c r="K26" s="1"/>
      <c r="L26" s="1"/>
      <c r="M26" s="1"/>
    </row>
    <row r="27" ht="24.0" customHeight="1">
      <c r="A27" s="1"/>
      <c r="B27" s="1"/>
      <c r="C27" s="71" t="s">
        <v>64</v>
      </c>
      <c r="D27" s="74"/>
      <c r="E27" s="74"/>
      <c r="F27" s="74"/>
      <c r="G27" s="74"/>
      <c r="H27" s="74"/>
      <c r="I27" s="74"/>
      <c r="J27" s="74"/>
      <c r="K27" s="1"/>
      <c r="L27" s="1"/>
      <c r="M27" s="1"/>
    </row>
    <row r="28" ht="24.0" customHeight="1">
      <c r="A28" s="1"/>
      <c r="B28" s="1"/>
      <c r="C28" s="71" t="s">
        <v>65</v>
      </c>
      <c r="D28" s="75"/>
      <c r="E28" s="75"/>
      <c r="F28" s="75"/>
      <c r="G28" s="75"/>
      <c r="H28" s="75"/>
      <c r="I28" s="75"/>
      <c r="J28" s="75"/>
      <c r="K28" s="1"/>
      <c r="L28" s="1"/>
      <c r="M28" s="1"/>
    </row>
    <row r="29" ht="24.0" customHeight="1">
      <c r="A29" s="1"/>
      <c r="B29" s="1"/>
      <c r="C29" s="71" t="s">
        <v>66</v>
      </c>
      <c r="D29" s="74"/>
      <c r="E29" s="74"/>
      <c r="F29" s="74"/>
      <c r="G29" s="74"/>
      <c r="H29" s="74"/>
      <c r="I29" s="74"/>
      <c r="J29" s="74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.5" customHeight="1">
      <c r="A31" s="1"/>
      <c r="B31" s="1"/>
      <c r="C31" s="41"/>
      <c r="D31" s="41"/>
      <c r="E31" s="41"/>
      <c r="F31" s="41"/>
      <c r="G31" s="41"/>
      <c r="H31" s="41"/>
      <c r="I31" s="41"/>
      <c r="J31" s="41"/>
      <c r="K31" s="1"/>
      <c r="L31" s="1"/>
      <c r="M31" s="1"/>
    </row>
    <row r="32" ht="13.5" customHeight="1">
      <c r="A32" s="1"/>
      <c r="B32" s="1"/>
      <c r="C32" s="66" t="s">
        <v>67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21.75" customHeight="1">
      <c r="A33" s="1"/>
      <c r="B33" s="1"/>
      <c r="C33" s="76" t="s">
        <v>25</v>
      </c>
      <c r="D33" s="76" t="s">
        <v>68</v>
      </c>
      <c r="E33" s="76" t="s">
        <v>69</v>
      </c>
      <c r="F33" s="76" t="s">
        <v>70</v>
      </c>
      <c r="G33" s="1"/>
      <c r="H33" s="1"/>
      <c r="I33" s="1"/>
      <c r="J33" s="1"/>
      <c r="K33" s="1"/>
      <c r="L33" s="1"/>
      <c r="M33" s="1"/>
    </row>
    <row r="34" ht="21.75" customHeight="1">
      <c r="A34" s="1"/>
      <c r="B34" s="1"/>
      <c r="C34" s="77"/>
      <c r="D34" s="78"/>
      <c r="E34" s="79">
        <f>IFERROR(SUMIF('📖 Study Log'!C13:C20,C34,'📖 Study Log'!F13:F20),0)</f>
        <v>0</v>
      </c>
      <c r="F34" s="80" t="str">
        <f t="shared" ref="F34:F43" si="1">IFERROR(IF(D34="","",D34-E34),"")</f>
        <v/>
      </c>
      <c r="G34" s="1"/>
      <c r="H34" s="1"/>
      <c r="I34" s="1"/>
      <c r="J34" s="1"/>
      <c r="K34" s="1"/>
      <c r="L34" s="1"/>
      <c r="M34" s="1"/>
    </row>
    <row r="35" ht="21.75" customHeight="1">
      <c r="A35" s="1"/>
      <c r="B35" s="1"/>
      <c r="C35" s="77"/>
      <c r="D35" s="78"/>
      <c r="E35" s="81">
        <f>IFERROR(SUMIF('📖 Study Log'!C13:C20,C35,'📖 Study Log'!F13:F20),0)</f>
        <v>0</v>
      </c>
      <c r="F35" s="82" t="str">
        <f t="shared" si="1"/>
        <v/>
      </c>
      <c r="G35" s="1"/>
      <c r="H35" s="1"/>
      <c r="I35" s="1"/>
      <c r="J35" s="1"/>
      <c r="K35" s="1"/>
      <c r="L35" s="1"/>
      <c r="M35" s="1"/>
    </row>
    <row r="36" ht="21.75" customHeight="1">
      <c r="A36" s="1"/>
      <c r="B36" s="1"/>
      <c r="C36" s="77"/>
      <c r="D36" s="78"/>
      <c r="E36" s="79">
        <f>IFERROR(SUMIF('📖 Study Log'!C13:C20,C36,'📖 Study Log'!F13:F20),0)</f>
        <v>0</v>
      </c>
      <c r="F36" s="80" t="str">
        <f t="shared" si="1"/>
        <v/>
      </c>
      <c r="G36" s="1"/>
      <c r="H36" s="1"/>
      <c r="I36" s="1"/>
      <c r="J36" s="1"/>
      <c r="K36" s="1"/>
      <c r="L36" s="1"/>
      <c r="M36" s="1"/>
    </row>
    <row r="37" ht="21.75" customHeight="1">
      <c r="A37" s="1"/>
      <c r="B37" s="1"/>
      <c r="C37" s="77"/>
      <c r="D37" s="78"/>
      <c r="E37" s="81">
        <f>IFERROR(SUMIF('📖 Study Log'!C13:C20,C37,'📖 Study Log'!F13:F20),0)</f>
        <v>0</v>
      </c>
      <c r="F37" s="82" t="str">
        <f t="shared" si="1"/>
        <v/>
      </c>
      <c r="G37" s="1"/>
      <c r="H37" s="1"/>
      <c r="I37" s="1"/>
      <c r="J37" s="1"/>
      <c r="K37" s="1"/>
      <c r="L37" s="1"/>
      <c r="M37" s="1"/>
    </row>
    <row r="38" ht="21.75" customHeight="1">
      <c r="A38" s="1"/>
      <c r="B38" s="1"/>
      <c r="C38" s="77"/>
      <c r="D38" s="78"/>
      <c r="E38" s="79">
        <f>IFERROR(SUMIF('📖 Study Log'!C13:C20,C38,'📖 Study Log'!F13:F20),0)</f>
        <v>0</v>
      </c>
      <c r="F38" s="80" t="str">
        <f t="shared" si="1"/>
        <v/>
      </c>
      <c r="G38" s="1"/>
      <c r="H38" s="1"/>
      <c r="I38" s="1"/>
      <c r="J38" s="1"/>
      <c r="K38" s="1"/>
      <c r="L38" s="1"/>
      <c r="M38" s="1"/>
    </row>
    <row r="39" ht="21.75" customHeight="1">
      <c r="A39" s="1"/>
      <c r="B39" s="1"/>
      <c r="C39" s="77"/>
      <c r="D39" s="78"/>
      <c r="E39" s="81">
        <f>IFERROR(SUMIF('📖 Study Log'!C13:C20,C39,'📖 Study Log'!F13:F20),0)</f>
        <v>0</v>
      </c>
      <c r="F39" s="82" t="str">
        <f t="shared" si="1"/>
        <v/>
      </c>
      <c r="G39" s="1"/>
      <c r="H39" s="1"/>
      <c r="I39" s="1"/>
      <c r="J39" s="1"/>
      <c r="K39" s="1"/>
      <c r="L39" s="1"/>
      <c r="M39" s="1"/>
    </row>
    <row r="40" ht="21.75" customHeight="1">
      <c r="A40" s="1"/>
      <c r="B40" s="1"/>
      <c r="C40" s="77"/>
      <c r="D40" s="78"/>
      <c r="E40" s="79">
        <f>IFERROR(SUMIF('📖 Study Log'!C13:C20,C40,'📖 Study Log'!F13:F20),0)</f>
        <v>0</v>
      </c>
      <c r="F40" s="80" t="str">
        <f t="shared" si="1"/>
        <v/>
      </c>
      <c r="G40" s="1"/>
      <c r="H40" s="1"/>
      <c r="I40" s="1"/>
      <c r="J40" s="1"/>
      <c r="K40" s="1"/>
      <c r="L40" s="1"/>
      <c r="M40" s="1"/>
    </row>
    <row r="41" ht="21.75" customHeight="1">
      <c r="A41" s="1"/>
      <c r="B41" s="1"/>
      <c r="C41" s="77"/>
      <c r="D41" s="78"/>
      <c r="E41" s="81">
        <f>IFERROR(SUMIF('📖 Study Log'!C13:C20,C41,'📖 Study Log'!F13:F20),0)</f>
        <v>0</v>
      </c>
      <c r="F41" s="82" t="str">
        <f t="shared" si="1"/>
        <v/>
      </c>
      <c r="G41" s="1"/>
      <c r="H41" s="1"/>
      <c r="I41" s="1"/>
      <c r="J41" s="1"/>
      <c r="K41" s="1"/>
      <c r="L41" s="1"/>
      <c r="M41" s="1"/>
    </row>
    <row r="42" ht="21.75" customHeight="1">
      <c r="A42" s="1"/>
      <c r="B42" s="1"/>
      <c r="C42" s="77"/>
      <c r="D42" s="78"/>
      <c r="E42" s="79">
        <f>IFERROR(SUMIF('📖 Study Log'!C13:C20,C42,'📖 Study Log'!F13:F20),0)</f>
        <v>0</v>
      </c>
      <c r="F42" s="80" t="str">
        <f t="shared" si="1"/>
        <v/>
      </c>
      <c r="G42" s="1"/>
      <c r="H42" s="1"/>
      <c r="I42" s="1"/>
      <c r="J42" s="1"/>
      <c r="K42" s="1"/>
      <c r="L42" s="1"/>
      <c r="M42" s="1"/>
    </row>
    <row r="43" ht="21.75" customHeight="1">
      <c r="A43" s="1"/>
      <c r="B43" s="1"/>
      <c r="C43" s="77"/>
      <c r="D43" s="78"/>
      <c r="E43" s="81">
        <f>IFERROR(SUMIF('📖 Study Log'!C13:C20,C43,'📖 Study Log'!F13:F20),0)</f>
        <v>0</v>
      </c>
      <c r="F43" s="82" t="str">
        <f t="shared" si="1"/>
        <v/>
      </c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/>
  </sheetData>
  <mergeCells count="1">
    <mergeCell ref="E8:G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2" width="2.1"/>
    <col customWidth="1" min="3" max="3" width="19.6"/>
    <col customWidth="1" min="4" max="4" width="9.9"/>
    <col customWidth="1" min="5" max="5" width="9.1"/>
    <col customWidth="1" min="6" max="6" width="10.8"/>
    <col customWidth="1" min="7" max="8" width="8.4"/>
    <col customWidth="1" min="9" max="9" width="9.8"/>
    <col customWidth="1" min="10" max="10" width="9.1"/>
    <col customWidth="1" min="11" max="11" width="8.4"/>
    <col customWidth="1" min="12" max="12" width="2.1"/>
    <col customWidth="1" min="13" max="26" width="6.1"/>
  </cols>
  <sheetData>
    <row r="1">
      <c r="A1" s="1"/>
      <c r="B1" s="1"/>
      <c r="C1" s="1"/>
      <c r="D1" s="1"/>
      <c r="E1" s="1"/>
      <c r="F1" s="1"/>
      <c r="G1" s="5"/>
      <c r="H1" s="5"/>
      <c r="I1" s="5"/>
      <c r="J1" s="5"/>
      <c r="K1" s="5"/>
      <c r="L1" s="5"/>
      <c r="M1" s="5"/>
      <c r="N1" s="5"/>
      <c r="O1" s="5"/>
    </row>
    <row r="2" ht="7.5" customHeight="1">
      <c r="A2" s="1"/>
      <c r="B2" s="1"/>
      <c r="C2" s="1"/>
      <c r="D2" s="1"/>
      <c r="E2" s="1"/>
      <c r="F2" s="1"/>
      <c r="G2" s="5"/>
      <c r="H2" s="5"/>
      <c r="I2" s="5"/>
      <c r="J2" s="5"/>
      <c r="K2" s="5"/>
      <c r="L2" s="5"/>
      <c r="M2" s="5"/>
      <c r="N2" s="5"/>
      <c r="O2" s="5"/>
    </row>
    <row r="3" ht="37.5" customHeight="1">
      <c r="A3" s="1"/>
      <c r="B3" s="1"/>
      <c r="D3" s="83" t="s">
        <v>71</v>
      </c>
      <c r="E3" s="5"/>
      <c r="G3" s="5"/>
      <c r="H3" s="5"/>
      <c r="I3" s="5"/>
      <c r="J3" s="5"/>
      <c r="K3" s="5"/>
      <c r="L3" s="5"/>
      <c r="M3" s="5"/>
      <c r="N3" s="5"/>
      <c r="O3" s="5"/>
    </row>
    <row r="4" ht="19.5" customHeight="1">
      <c r="A4" s="1"/>
      <c r="B4" s="1"/>
      <c r="C4" s="4"/>
      <c r="D4" s="1"/>
      <c r="E4" s="1"/>
      <c r="F4" s="1"/>
      <c r="G4" s="5"/>
      <c r="H4" s="5"/>
      <c r="I4" s="5"/>
      <c r="J4" s="5"/>
      <c r="K4" s="5"/>
      <c r="L4" s="5"/>
      <c r="M4" s="5"/>
      <c r="N4" s="5"/>
      <c r="O4" s="5"/>
    </row>
    <row r="5" ht="18.0" customHeight="1">
      <c r="A5" s="1"/>
      <c r="B5" s="1"/>
      <c r="C5" s="54" t="s">
        <v>72</v>
      </c>
      <c r="D5" s="56" t="s">
        <v>73</v>
      </c>
      <c r="E5" s="84" t="s">
        <v>74</v>
      </c>
      <c r="F5" s="55" t="s">
        <v>75</v>
      </c>
      <c r="G5" s="5"/>
      <c r="H5" s="5"/>
      <c r="I5" s="5"/>
      <c r="J5" s="5"/>
      <c r="K5" s="5"/>
      <c r="L5" s="5"/>
      <c r="M5" s="5"/>
      <c r="N5" s="5"/>
      <c r="O5" s="5"/>
    </row>
    <row r="6" ht="20.25" customHeight="1">
      <c r="A6" s="1"/>
      <c r="B6" s="1"/>
      <c r="C6" s="58">
        <f>IFERROR(SUMPRODUCT(D10:D21,I13:I29)/SUMIF(I13:I29,"&lt;&gt;",D10:D21),0)</f>
        <v>0</v>
      </c>
      <c r="D6" s="60">
        <f>IFERROR(MAX(H10:H21),0)</f>
        <v>0</v>
      </c>
      <c r="E6" s="85">
        <f>IFERROR(MIN(IF(H10:H21&gt;0,H10:H21)),0)</f>
        <v>0</v>
      </c>
      <c r="F6" s="55" t="str">
        <f>IFERROR(IF(C6&gt;=3.5,"Dean's List",IF(C6&gt;=3,"Good Standing",IF(C6&gt;=2,"Satisfactory","Review Required"))),"-")</f>
        <v>Review Required</v>
      </c>
      <c r="G6" s="5"/>
      <c r="H6" s="5"/>
      <c r="I6" s="5"/>
      <c r="J6" s="5"/>
      <c r="K6" s="5"/>
      <c r="L6" s="5"/>
      <c r="M6" s="5"/>
      <c r="N6" s="5"/>
      <c r="O6" s="5"/>
    </row>
    <row r="7" ht="33.0" customHeight="1">
      <c r="A7" s="1"/>
      <c r="B7" s="1"/>
      <c r="C7" s="1"/>
      <c r="D7" s="1"/>
      <c r="E7" s="1"/>
      <c r="F7" s="1"/>
      <c r="G7" s="1"/>
      <c r="H7" s="1"/>
      <c r="I7" s="86" t="s">
        <v>76</v>
      </c>
      <c r="J7" s="5"/>
      <c r="K7" s="5"/>
      <c r="L7" s="5"/>
      <c r="M7" s="5"/>
      <c r="N7" s="5"/>
      <c r="O7" s="5"/>
    </row>
    <row r="8" ht="18.75" customHeight="1">
      <c r="A8" s="1"/>
      <c r="B8" s="1"/>
      <c r="C8" s="41"/>
      <c r="D8" s="41"/>
      <c r="E8" s="41"/>
      <c r="F8" s="41"/>
      <c r="G8" s="41"/>
      <c r="H8" s="41"/>
      <c r="I8" s="87" t="s">
        <v>77</v>
      </c>
      <c r="J8" s="5"/>
      <c r="K8" s="5"/>
      <c r="L8" s="5"/>
      <c r="M8" s="5"/>
      <c r="N8" s="5"/>
      <c r="O8" s="5"/>
    </row>
    <row r="9" ht="27.75" customHeight="1">
      <c r="A9" s="1"/>
      <c r="B9" s="1"/>
      <c r="C9" s="88" t="s">
        <v>25</v>
      </c>
      <c r="D9" s="89" t="s">
        <v>78</v>
      </c>
      <c r="E9" s="88" t="s">
        <v>79</v>
      </c>
      <c r="F9" s="88" t="s">
        <v>80</v>
      </c>
      <c r="G9" s="88" t="s">
        <v>81</v>
      </c>
      <c r="H9" s="88" t="s">
        <v>82</v>
      </c>
      <c r="I9" s="90" t="s">
        <v>83</v>
      </c>
      <c r="J9" s="5"/>
      <c r="K9" s="5"/>
      <c r="L9" s="5"/>
      <c r="M9" s="5"/>
      <c r="N9" s="5"/>
      <c r="O9" s="5"/>
    </row>
    <row r="10" ht="16.5" customHeight="1">
      <c r="A10" s="1"/>
      <c r="B10" s="1"/>
      <c r="C10" s="91"/>
      <c r="D10" s="35"/>
      <c r="E10" s="92"/>
      <c r="F10" s="92"/>
      <c r="G10" s="92"/>
      <c r="H10" s="93" t="str">
        <f t="shared" ref="H10:H21" si="1">IFERROR(IF(E10+F10+G10+#REF!=0,"",E10*0.2+F10*0.1+G10*0.3+#REF!*0.4),"")</f>
        <v/>
      </c>
      <c r="I10" s="94" t="s">
        <v>84</v>
      </c>
      <c r="K10" s="5"/>
      <c r="L10" s="5"/>
      <c r="M10" s="5"/>
      <c r="N10" s="5"/>
      <c r="O10" s="5"/>
    </row>
    <row r="11" ht="25.5" customHeight="1">
      <c r="A11" s="1"/>
      <c r="B11" s="1"/>
      <c r="C11" s="91"/>
      <c r="D11" s="35"/>
      <c r="E11" s="92"/>
      <c r="F11" s="92"/>
      <c r="G11" s="92"/>
      <c r="H11" s="95" t="str">
        <f t="shared" si="1"/>
        <v/>
      </c>
      <c r="I11" s="96" t="s">
        <v>85</v>
      </c>
      <c r="K11" s="5"/>
      <c r="L11" s="5"/>
      <c r="M11" s="5"/>
      <c r="N11" s="5"/>
      <c r="O11" s="5"/>
    </row>
    <row r="12" ht="21.75" customHeight="1">
      <c r="A12" s="1"/>
      <c r="B12" s="1"/>
      <c r="C12" s="91"/>
      <c r="D12" s="35"/>
      <c r="E12" s="92"/>
      <c r="F12" s="92"/>
      <c r="G12" s="92"/>
      <c r="H12" s="97" t="str">
        <f t="shared" si="1"/>
        <v/>
      </c>
      <c r="I12" s="98" t="s">
        <v>86</v>
      </c>
      <c r="K12" s="5"/>
      <c r="L12" s="5"/>
    </row>
    <row r="13" ht="21.75" customHeight="1">
      <c r="A13" s="1"/>
      <c r="B13" s="1"/>
      <c r="C13" s="91"/>
      <c r="D13" s="35"/>
      <c r="E13" s="92"/>
      <c r="F13" s="92"/>
      <c r="G13" s="92"/>
      <c r="H13" s="95" t="str">
        <f t="shared" si="1"/>
        <v/>
      </c>
      <c r="I13" s="99" t="str">
        <f>IFERROR(IF(H10="","",IF(H10&gt;=90,4,IF(H10&gt;=80,3,IF(H10&gt;=70,2,IF(H10&gt;=60,1,0))))),"")</f>
        <v/>
      </c>
      <c r="K13" s="5"/>
      <c r="L13" s="5"/>
      <c r="M13" s="5"/>
    </row>
    <row r="14" ht="21.75" customHeight="1">
      <c r="A14" s="1"/>
      <c r="B14" s="1"/>
      <c r="C14" s="91"/>
      <c r="D14" s="35"/>
      <c r="E14" s="92"/>
      <c r="F14" s="92"/>
      <c r="G14" s="92"/>
      <c r="H14" s="97" t="str">
        <f t="shared" si="1"/>
        <v/>
      </c>
      <c r="I14" s="100"/>
      <c r="K14" s="5"/>
      <c r="L14" s="5"/>
      <c r="M14" s="5"/>
    </row>
    <row r="15" ht="21.75" customHeight="1">
      <c r="A15" s="1"/>
      <c r="B15" s="1"/>
      <c r="C15" s="91"/>
      <c r="D15" s="35"/>
      <c r="E15" s="92"/>
      <c r="F15" s="92"/>
      <c r="G15" s="92"/>
      <c r="H15" s="95" t="str">
        <f t="shared" si="1"/>
        <v/>
      </c>
      <c r="I15" s="100"/>
      <c r="K15" s="5"/>
      <c r="L15" s="5"/>
      <c r="M15" s="5"/>
    </row>
    <row r="16" ht="21.75" customHeight="1">
      <c r="A16" s="1"/>
      <c r="B16" s="1"/>
      <c r="C16" s="91"/>
      <c r="D16" s="35"/>
      <c r="E16" s="92"/>
      <c r="F16" s="92"/>
      <c r="G16" s="92"/>
      <c r="H16" s="97" t="str">
        <f t="shared" si="1"/>
        <v/>
      </c>
      <c r="I16" s="100"/>
      <c r="K16" s="5"/>
      <c r="L16" s="5"/>
      <c r="M16" s="5"/>
    </row>
    <row r="17" ht="21.75" customHeight="1">
      <c r="A17" s="1"/>
      <c r="B17" s="1"/>
      <c r="C17" s="91"/>
      <c r="D17" s="35"/>
      <c r="E17" s="92"/>
      <c r="F17" s="92"/>
      <c r="G17" s="92"/>
      <c r="H17" s="95" t="str">
        <f t="shared" si="1"/>
        <v/>
      </c>
      <c r="I17" s="100"/>
      <c r="K17" s="5"/>
      <c r="L17" s="5"/>
      <c r="M17" s="5"/>
    </row>
    <row r="18" ht="21.75" customHeight="1">
      <c r="A18" s="1"/>
      <c r="B18" s="1"/>
      <c r="C18" s="91"/>
      <c r="D18" s="35"/>
      <c r="E18" s="92"/>
      <c r="F18" s="92"/>
      <c r="G18" s="92"/>
      <c r="H18" s="97" t="str">
        <f t="shared" si="1"/>
        <v/>
      </c>
      <c r="I18" s="100"/>
      <c r="K18" s="5"/>
      <c r="L18" s="5"/>
      <c r="M18" s="5"/>
    </row>
    <row r="19" ht="21.75" customHeight="1">
      <c r="A19" s="1"/>
      <c r="B19" s="1"/>
      <c r="C19" s="91"/>
      <c r="D19" s="35"/>
      <c r="E19" s="92"/>
      <c r="F19" s="92"/>
      <c r="G19" s="92"/>
      <c r="H19" s="95" t="str">
        <f t="shared" si="1"/>
        <v/>
      </c>
      <c r="I19" s="100"/>
      <c r="K19" s="5"/>
      <c r="L19" s="5"/>
      <c r="M19" s="5"/>
    </row>
    <row r="20" ht="21.75" customHeight="1">
      <c r="A20" s="1"/>
      <c r="B20" s="1"/>
      <c r="C20" s="91"/>
      <c r="D20" s="35"/>
      <c r="E20" s="92"/>
      <c r="F20" s="92"/>
      <c r="G20" s="92"/>
      <c r="H20" s="97" t="str">
        <f t="shared" si="1"/>
        <v/>
      </c>
      <c r="I20" s="100"/>
      <c r="J20" s="101"/>
      <c r="K20" s="5"/>
      <c r="L20" s="5"/>
      <c r="M20" s="5"/>
    </row>
    <row r="21" ht="21.75" customHeight="1">
      <c r="A21" s="1"/>
      <c r="B21" s="1"/>
      <c r="C21" s="91"/>
      <c r="D21" s="35"/>
      <c r="E21" s="92"/>
      <c r="F21" s="92"/>
      <c r="G21" s="92"/>
      <c r="H21" s="95" t="str">
        <f t="shared" si="1"/>
        <v/>
      </c>
      <c r="I21" s="100"/>
      <c r="J21" s="101"/>
      <c r="K21" s="5"/>
      <c r="L21" s="5"/>
      <c r="M21" s="5"/>
    </row>
    <row r="22" ht="21.75" customHeight="1">
      <c r="A22" s="1"/>
      <c r="B22" s="1"/>
      <c r="D22" s="5"/>
      <c r="E22" s="5"/>
      <c r="F22" s="5"/>
      <c r="G22" s="5"/>
      <c r="H22" s="102"/>
      <c r="I22" s="100"/>
      <c r="J22" s="101"/>
      <c r="K22" s="5"/>
      <c r="L22" s="5"/>
      <c r="M22" s="5"/>
    </row>
    <row r="23" ht="21.75" customHeight="1">
      <c r="A23" s="1"/>
      <c r="B23" s="1"/>
      <c r="D23" s="5"/>
      <c r="E23" s="5"/>
      <c r="F23" s="5"/>
      <c r="G23" s="5"/>
      <c r="H23" s="102"/>
      <c r="I23" s="100"/>
      <c r="J23" s="101"/>
      <c r="K23" s="5"/>
      <c r="L23" s="5"/>
      <c r="M23" s="5"/>
    </row>
    <row r="24" ht="21.75" customHeight="1">
      <c r="A24" s="1"/>
      <c r="B24" s="1"/>
      <c r="D24" s="5"/>
      <c r="E24" s="5"/>
      <c r="F24" s="5"/>
      <c r="G24" s="5"/>
      <c r="H24" s="102"/>
      <c r="I24" s="100"/>
      <c r="J24" s="101"/>
      <c r="K24" s="5"/>
      <c r="L24" s="5"/>
      <c r="M24" s="5"/>
    </row>
    <row r="25" ht="21.75" customHeight="1">
      <c r="A25" s="1"/>
      <c r="B25" s="1"/>
      <c r="D25" s="5"/>
      <c r="E25" s="5"/>
      <c r="F25" s="5"/>
      <c r="G25" s="5"/>
      <c r="H25" s="102"/>
      <c r="I25" s="100" t="str">
        <f t="shared" ref="I25:I29" si="2">IFERROR(IF(#REF!="","",IF(#REF!&gt;=90,4,IF(#REF!&gt;=80,3,IF(#REF!&gt;=70,2,IF(#REF!&gt;=60,1,0))))),"")</f>
        <v/>
      </c>
      <c r="J25" s="101"/>
      <c r="K25" s="5"/>
      <c r="L25" s="5"/>
      <c r="M25" s="5"/>
    </row>
    <row r="26" ht="21.75" customHeight="1">
      <c r="A26" s="1"/>
      <c r="B26" s="1"/>
      <c r="D26" s="5"/>
      <c r="E26" s="5"/>
      <c r="F26" s="5"/>
      <c r="G26" s="5"/>
      <c r="H26" s="102"/>
      <c r="I26" s="100" t="str">
        <f t="shared" si="2"/>
        <v/>
      </c>
      <c r="J26" s="101"/>
      <c r="K26" s="5"/>
      <c r="L26" s="5"/>
      <c r="M26" s="5"/>
    </row>
    <row r="27" ht="21.75" customHeight="1">
      <c r="A27" s="1"/>
      <c r="B27" s="1"/>
      <c r="D27" s="5"/>
      <c r="E27" s="5"/>
      <c r="F27" s="5"/>
      <c r="G27" s="5"/>
      <c r="H27" s="5"/>
      <c r="I27" s="100" t="str">
        <f t="shared" si="2"/>
        <v/>
      </c>
      <c r="J27" s="101"/>
      <c r="K27" s="5"/>
      <c r="L27" s="5"/>
      <c r="M27" s="5"/>
    </row>
    <row r="28" ht="21.75" customHeight="1">
      <c r="A28" s="1"/>
      <c r="B28" s="1"/>
      <c r="C28" s="5"/>
      <c r="D28" s="5"/>
      <c r="E28" s="5"/>
      <c r="F28" s="5"/>
      <c r="G28" s="5"/>
      <c r="H28" s="5"/>
      <c r="I28" s="100" t="str">
        <f t="shared" si="2"/>
        <v/>
      </c>
      <c r="J28" s="101"/>
      <c r="K28" s="5"/>
      <c r="L28" s="5"/>
      <c r="M28" s="5"/>
    </row>
    <row r="29" ht="21.75" customHeight="1">
      <c r="A29" s="1"/>
      <c r="B29" s="1"/>
      <c r="C29" s="5"/>
      <c r="D29" s="5"/>
      <c r="E29" s="5"/>
      <c r="F29" s="5"/>
      <c r="G29" s="5"/>
      <c r="H29" s="5"/>
      <c r="I29" s="100" t="str">
        <f t="shared" si="2"/>
        <v/>
      </c>
      <c r="J29" s="101"/>
      <c r="K29" s="5"/>
      <c r="L29" s="5"/>
      <c r="M29" s="5"/>
    </row>
    <row r="30" ht="21.75" customHeight="1">
      <c r="A30" s="1"/>
      <c r="B30" s="1"/>
      <c r="C30" s="5"/>
      <c r="D30" s="5"/>
      <c r="E30" s="5"/>
      <c r="F30" s="5"/>
      <c r="G30" s="5"/>
      <c r="H30" s="5"/>
      <c r="I30" s="103"/>
      <c r="J30" s="5"/>
      <c r="K30" s="5"/>
      <c r="L30" s="5"/>
      <c r="M30" s="5"/>
      <c r="N30" s="5"/>
      <c r="O30" s="5"/>
    </row>
    <row r="31" ht="21.75" customHeight="1">
      <c r="A31" s="1"/>
      <c r="B31" s="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21.75" customHeight="1">
      <c r="A32" s="1"/>
      <c r="B32" s="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21.75" customHeight="1">
      <c r="A33" s="1"/>
      <c r="B33" s="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21.75" customHeight="1">
      <c r="A34" s="1"/>
      <c r="B34" s="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ht="21.75" customHeight="1">
      <c r="A35" s="1"/>
      <c r="B35" s="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5"/>
      <c r="J36" s="5"/>
      <c r="K36" s="5"/>
      <c r="L36" s="5"/>
      <c r="M36" s="5"/>
      <c r="N36" s="5"/>
      <c r="O36" s="5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5"/>
      <c r="J37" s="5"/>
      <c r="K37" s="5"/>
      <c r="L37" s="5"/>
      <c r="M37" s="5"/>
      <c r="N37" s="5"/>
      <c r="O37" s="5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5"/>
      <c r="J38" s="5"/>
      <c r="K38" s="5"/>
      <c r="L38" s="5"/>
      <c r="M38" s="5"/>
      <c r="N38" s="5"/>
      <c r="O38" s="5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5"/>
      <c r="J39" s="5"/>
      <c r="K39" s="5"/>
      <c r="L39" s="5"/>
      <c r="M39" s="5"/>
      <c r="N39" s="5"/>
      <c r="O39" s="5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5"/>
      <c r="J40" s="5"/>
      <c r="K40" s="5"/>
      <c r="L40" s="5"/>
      <c r="M40" s="5"/>
      <c r="N40" s="5"/>
      <c r="O40" s="5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5"/>
      <c r="J41" s="5"/>
      <c r="K41" s="5"/>
      <c r="L41" s="5"/>
      <c r="M41" s="5"/>
      <c r="N41" s="5"/>
      <c r="O41" s="5"/>
    </row>
    <row r="42" ht="21.75" customHeight="1">
      <c r="A42" s="1"/>
      <c r="B42" s="1"/>
      <c r="I42" s="5"/>
      <c r="J42" s="5"/>
      <c r="K42" s="5"/>
      <c r="L42" s="5"/>
      <c r="M42" s="5"/>
      <c r="N42" s="5"/>
      <c r="O42" s="5"/>
    </row>
    <row r="43" ht="15.75" customHeight="1">
      <c r="A43" s="1"/>
      <c r="B43" s="1"/>
      <c r="I43" s="5"/>
      <c r="J43" s="5"/>
      <c r="K43" s="5"/>
      <c r="L43" s="5"/>
      <c r="M43" s="5"/>
      <c r="N43" s="5"/>
      <c r="O43" s="5"/>
    </row>
    <row r="44" ht="1.5" customHeight="1">
      <c r="A44" s="1"/>
      <c r="B44" s="1"/>
      <c r="I44" s="5"/>
      <c r="J44" s="5"/>
      <c r="K44" s="5"/>
      <c r="L44" s="5"/>
      <c r="M44" s="5"/>
      <c r="N44" s="5"/>
      <c r="O44" s="5"/>
    </row>
    <row r="45" ht="13.5" customHeight="1">
      <c r="A45" s="1"/>
      <c r="B45" s="1"/>
      <c r="I45" s="5"/>
      <c r="J45" s="5"/>
      <c r="K45" s="5"/>
      <c r="L45" s="5"/>
      <c r="M45" s="5"/>
      <c r="N45" s="5"/>
      <c r="O45" s="5"/>
    </row>
    <row r="46" ht="19.5" customHeight="1">
      <c r="A46" s="1"/>
      <c r="B46" s="1"/>
      <c r="I46" s="5"/>
      <c r="J46" s="5"/>
      <c r="K46" s="5"/>
      <c r="L46" s="5"/>
      <c r="M46" s="5"/>
      <c r="N46" s="5"/>
      <c r="O46" s="5"/>
    </row>
    <row r="47" ht="19.5" customHeight="1">
      <c r="A47" s="1"/>
      <c r="B47" s="1"/>
      <c r="I47" s="5"/>
      <c r="J47" s="5"/>
      <c r="K47" s="5"/>
      <c r="L47" s="5"/>
      <c r="M47" s="5"/>
      <c r="N47" s="5"/>
      <c r="O47" s="5"/>
    </row>
    <row r="48" ht="19.5" customHeight="1">
      <c r="A48" s="1"/>
      <c r="B48" s="1"/>
      <c r="I48" s="5"/>
      <c r="J48" s="5"/>
      <c r="K48" s="5"/>
      <c r="L48" s="5"/>
      <c r="M48" s="5"/>
      <c r="N48" s="5"/>
      <c r="O48" s="5"/>
    </row>
    <row r="49" ht="19.5" customHeight="1">
      <c r="A49" s="1"/>
      <c r="B49" s="1"/>
      <c r="I49" s="5"/>
      <c r="J49" s="5"/>
      <c r="K49" s="5"/>
      <c r="L49" s="5"/>
      <c r="M49" s="5"/>
      <c r="N49" s="5"/>
      <c r="O49" s="5"/>
    </row>
    <row r="50" ht="19.5" customHeight="1">
      <c r="A50" s="1"/>
      <c r="B50" s="1"/>
      <c r="I50" s="5"/>
      <c r="J50" s="5"/>
      <c r="K50" s="5"/>
      <c r="L50" s="5"/>
      <c r="M50" s="5"/>
      <c r="N50" s="5"/>
      <c r="O50" s="5"/>
    </row>
    <row r="51" ht="15.75" customHeight="1">
      <c r="A51" s="1"/>
      <c r="B51" s="1"/>
      <c r="M51" s="5"/>
      <c r="N51" s="5"/>
      <c r="O51" s="5"/>
    </row>
    <row r="52" ht="15.75" customHeight="1">
      <c r="A52" s="1"/>
      <c r="B52" s="1"/>
      <c r="M52" s="5"/>
      <c r="N52" s="5"/>
      <c r="O52" s="5"/>
    </row>
    <row r="53" ht="15.75" customHeight="1">
      <c r="A53" s="1"/>
      <c r="B53" s="1"/>
      <c r="M53" s="5"/>
      <c r="N53" s="5"/>
      <c r="O53" s="5"/>
    </row>
    <row r="54" ht="15.75" customHeight="1">
      <c r="A54" s="1"/>
      <c r="B54" s="1"/>
      <c r="M54" s="5"/>
      <c r="N54" s="5"/>
      <c r="O54" s="5"/>
    </row>
    <row r="55" ht="15.75" customHeight="1">
      <c r="A55" s="1"/>
      <c r="B55" s="1"/>
      <c r="M55" s="5"/>
      <c r="N55" s="5"/>
      <c r="O55" s="5"/>
    </row>
    <row r="56" ht="15.75" customHeight="1">
      <c r="A56" s="1"/>
      <c r="B56" s="1"/>
      <c r="M56" s="5"/>
      <c r="N56" s="5"/>
      <c r="O56" s="5"/>
    </row>
    <row r="57" ht="15.75" customHeight="1">
      <c r="A57" s="1"/>
      <c r="B57" s="1"/>
      <c r="M57" s="5"/>
      <c r="N57" s="5"/>
      <c r="O57" s="5"/>
    </row>
    <row r="58" ht="15.75" customHeight="1">
      <c r="A58" s="1"/>
      <c r="B58" s="1"/>
      <c r="M58" s="5"/>
      <c r="N58" s="5"/>
      <c r="O58" s="5"/>
    </row>
    <row r="59" ht="15.75" customHeight="1">
      <c r="A59" s="1"/>
      <c r="B59" s="1"/>
      <c r="M59" s="5"/>
      <c r="N59" s="5"/>
      <c r="O59" s="5"/>
    </row>
    <row r="60" ht="15.75" customHeight="1">
      <c r="A60" s="1"/>
      <c r="B60" s="1"/>
      <c r="M60" s="5"/>
      <c r="N60" s="5"/>
      <c r="O60" s="5"/>
    </row>
    <row r="61" ht="15.75" customHeight="1">
      <c r="A61" s="1"/>
      <c r="B61" s="1"/>
      <c r="M61" s="5"/>
      <c r="N61" s="5"/>
      <c r="O61" s="5"/>
    </row>
    <row r="62" ht="15.75" customHeight="1">
      <c r="A62" s="1"/>
      <c r="B62" s="1"/>
      <c r="M62" s="5"/>
      <c r="N62" s="5"/>
      <c r="O62" s="5"/>
    </row>
    <row r="63" ht="15.75" customHeight="1">
      <c r="A63" s="1"/>
      <c r="B63" s="1"/>
      <c r="M63" s="5"/>
      <c r="N63" s="5"/>
      <c r="O63" s="5"/>
    </row>
    <row r="64" ht="15.75" customHeight="1">
      <c r="A64" s="1"/>
      <c r="B64" s="1"/>
      <c r="M64" s="5"/>
      <c r="N64" s="5"/>
      <c r="O64" s="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4C7"/>
    <pageSetUpPr/>
  </sheetPr>
  <sheetViews>
    <sheetView showGridLines="0" workbookViewId="0">
      <pane xSplit="2.0" ySplit="13.0" topLeftCell="C14" activePane="bottomRight" state="frozen"/>
      <selection activeCell="C1" sqref="C1" pane="topRight"/>
      <selection activeCell="A14" sqref="A14" pane="bottomLeft"/>
      <selection activeCell="C14" sqref="C14" pane="bottomRight"/>
    </sheetView>
  </sheetViews>
  <sheetFormatPr customHeight="1" defaultColWidth="10.1" defaultRowHeight="15.0"/>
  <cols>
    <col customWidth="1" min="1" max="2" width="2.1"/>
    <col customWidth="1" min="3" max="8" width="11.9"/>
    <col customWidth="1" min="9" max="10" width="2.1"/>
    <col customWidth="1" min="11" max="14" width="11.9"/>
    <col customWidth="1" min="15" max="15" width="2.1"/>
    <col customWidth="1" min="16" max="26" width="6.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39.75" customHeight="1">
      <c r="A3" s="1"/>
      <c r="B3" s="1"/>
      <c r="C3" s="29" t="s">
        <v>87</v>
      </c>
      <c r="D3" s="10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9.5" customHeight="1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.5" customHeight="1">
      <c r="A6" s="1"/>
      <c r="B6" s="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1"/>
      <c r="P6" s="1"/>
      <c r="Q6" s="1"/>
      <c r="R6" s="1"/>
      <c r="S6" s="1"/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2.75" customHeight="1">
      <c r="A8" s="1"/>
      <c r="B8" s="1"/>
      <c r="C8" s="54" t="s">
        <v>88</v>
      </c>
      <c r="D8" s="56" t="s">
        <v>89</v>
      </c>
      <c r="E8" s="84" t="s">
        <v>90</v>
      </c>
      <c r="F8" s="55" t="s">
        <v>32</v>
      </c>
      <c r="G8" s="57" t="s">
        <v>91</v>
      </c>
      <c r="H8" s="105" t="s">
        <v>92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27.75" customHeight="1">
      <c r="A9" s="1"/>
      <c r="B9" s="1"/>
      <c r="C9" s="58">
        <f>COUNTA('📚 Subjects'!C7:C18)</f>
        <v>0</v>
      </c>
      <c r="D9" s="60">
        <f>IFERROR(SUM('📖 Study Log'!F13:F20),0)</f>
        <v>0</v>
      </c>
      <c r="E9" s="85">
        <f>COUNTIF('📅 Exam Dates'!F7:F18,"&gt;0")</f>
        <v>0</v>
      </c>
      <c r="F9" s="59">
        <f>COUNTA('📖 Study Log'!C13:C20)</f>
        <v>0</v>
      </c>
      <c r="G9" s="61">
        <f>IFERROR('📊 Grades'!C6,"-")</f>
        <v>0</v>
      </c>
      <c r="H9" s="106">
        <f>IFERROR(SUMIF('📖 Study Log'!E13:E20,"&gt;="&amp;(TODAY()-WEEKDAY(TODAY(),2)+1),'📖 Study Log'!F13:F20),0)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.5" customHeight="1">
      <c r="A11" s="1"/>
      <c r="B11" s="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1"/>
      <c r="P11" s="1"/>
      <c r="Q11" s="1"/>
      <c r="R11" s="1"/>
      <c r="S11" s="1"/>
    </row>
    <row r="12" ht="13.5" customHeight="1">
      <c r="A12" s="1"/>
      <c r="B12" s="1"/>
      <c r="C12" s="66" t="s">
        <v>93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1.75" customHeight="1">
      <c r="A13" s="1"/>
      <c r="B13" s="1"/>
      <c r="C13" s="76" t="s">
        <v>25</v>
      </c>
      <c r="D13" s="76" t="s">
        <v>26</v>
      </c>
      <c r="E13" s="76" t="s">
        <v>94</v>
      </c>
      <c r="F13" s="76" t="s">
        <v>28</v>
      </c>
      <c r="G13" s="76" t="s">
        <v>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9.5" customHeight="1">
      <c r="A14" s="1"/>
      <c r="B14" s="1"/>
      <c r="C14" s="107" t="str">
        <f>'📅 Exam Dates'!C7</f>
        <v/>
      </c>
      <c r="D14" s="107" t="str">
        <f>'📅 Exam Dates'!D7</f>
        <v/>
      </c>
      <c r="E14" s="107" t="str">
        <f>'📅 Exam Dates'!E7</f>
        <v/>
      </c>
      <c r="F14" s="80" t="str">
        <f>'📅 Exam Dates'!F7</f>
        <v/>
      </c>
      <c r="G14" s="108" t="str">
        <f>'📅 Exam Dates'!G7</f>
        <v/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9.5" customHeight="1">
      <c r="A15" s="1"/>
      <c r="B15" s="1"/>
      <c r="C15" s="109" t="str">
        <f>'📅 Exam Dates'!C8</f>
        <v/>
      </c>
      <c r="D15" s="109" t="str">
        <f>'📅 Exam Dates'!D8</f>
        <v/>
      </c>
      <c r="E15" s="109" t="str">
        <f>'📅 Exam Dates'!E8</f>
        <v/>
      </c>
      <c r="F15" s="82" t="str">
        <f>'📅 Exam Dates'!F8</f>
        <v/>
      </c>
      <c r="G15" s="110" t="str">
        <f>'📅 Exam Dates'!G8</f>
        <v/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9.5" customHeight="1">
      <c r="A16" s="1"/>
      <c r="B16" s="1"/>
      <c r="C16" s="107" t="str">
        <f>'📅 Exam Dates'!C9</f>
        <v/>
      </c>
      <c r="D16" s="107" t="str">
        <f>'📅 Exam Dates'!D9</f>
        <v/>
      </c>
      <c r="E16" s="107" t="str">
        <f>'📅 Exam Dates'!E9</f>
        <v/>
      </c>
      <c r="F16" s="80" t="str">
        <f>'📅 Exam Dates'!F9</f>
        <v/>
      </c>
      <c r="G16" s="108" t="str">
        <f>'📅 Exam Dates'!G9</f>
        <v/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9.5" customHeight="1">
      <c r="A17" s="1"/>
      <c r="B17" s="1"/>
      <c r="C17" s="109" t="str">
        <f>'📅 Exam Dates'!C10</f>
        <v/>
      </c>
      <c r="D17" s="109" t="str">
        <f>'📅 Exam Dates'!D10</f>
        <v/>
      </c>
      <c r="E17" s="109" t="str">
        <f>'📅 Exam Dates'!E10</f>
        <v/>
      </c>
      <c r="F17" s="82" t="str">
        <f>'📅 Exam Dates'!F10</f>
        <v/>
      </c>
      <c r="G17" s="110" t="str">
        <f>'📅 Exam Dates'!G10</f>
        <v/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9.5" customHeight="1">
      <c r="A18" s="1"/>
      <c r="B18" s="1"/>
      <c r="C18" s="107" t="str">
        <f>'📅 Exam Dates'!C11</f>
        <v/>
      </c>
      <c r="D18" s="107" t="str">
        <f>'📅 Exam Dates'!D11</f>
        <v/>
      </c>
      <c r="E18" s="107" t="str">
        <f>'📅 Exam Dates'!E11</f>
        <v/>
      </c>
      <c r="F18" s="80" t="str">
        <f>'📅 Exam Dates'!F11</f>
        <v/>
      </c>
      <c r="G18" s="108" t="str">
        <f>'📅 Exam Dates'!G11</f>
        <v/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9.5" customHeight="1">
      <c r="A19" s="1"/>
      <c r="B19" s="1"/>
      <c r="C19" s="109" t="str">
        <f>'📅 Exam Dates'!C12</f>
        <v/>
      </c>
      <c r="D19" s="109" t="str">
        <f>'📅 Exam Dates'!D12</f>
        <v/>
      </c>
      <c r="E19" s="109" t="str">
        <f>'📅 Exam Dates'!E12</f>
        <v/>
      </c>
      <c r="F19" s="82" t="str">
        <f>'📅 Exam Dates'!F12</f>
        <v/>
      </c>
      <c r="G19" s="110" t="str">
        <f>'📅 Exam Dates'!G12</f>
        <v/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9.5" customHeight="1">
      <c r="A20" s="1"/>
      <c r="B20" s="1"/>
      <c r="C20" s="107" t="str">
        <f>'📅 Exam Dates'!C13</f>
        <v/>
      </c>
      <c r="D20" s="107" t="str">
        <f>'📅 Exam Dates'!D13</f>
        <v/>
      </c>
      <c r="E20" s="107" t="str">
        <f>'📅 Exam Dates'!E13</f>
        <v/>
      </c>
      <c r="F20" s="80" t="str">
        <f>'📅 Exam Dates'!F13</f>
        <v/>
      </c>
      <c r="G20" s="108" t="str">
        <f>'📅 Exam Dates'!G13</f>
        <v/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9.5" customHeight="1">
      <c r="A21" s="1"/>
      <c r="B21" s="1"/>
      <c r="C21" s="109" t="str">
        <f>'📅 Exam Dates'!C14</f>
        <v/>
      </c>
      <c r="D21" s="109" t="str">
        <f>'📅 Exam Dates'!D14</f>
        <v/>
      </c>
      <c r="E21" s="109" t="str">
        <f>'📅 Exam Dates'!E14</f>
        <v/>
      </c>
      <c r="F21" s="82" t="str">
        <f>'📅 Exam Dates'!F14</f>
        <v/>
      </c>
      <c r="G21" s="110" t="str">
        <f>'📅 Exam Dates'!G14</f>
        <v/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.5" customHeight="1">
      <c r="A23" s="1"/>
      <c r="B23" s="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"/>
      <c r="P23" s="1"/>
      <c r="Q23" s="1"/>
      <c r="R23" s="1"/>
      <c r="S23" s="1"/>
    </row>
    <row r="24" ht="13.5" customHeight="1">
      <c r="A24" s="1"/>
      <c r="B24" s="1"/>
      <c r="C24" s="66" t="s">
        <v>95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21.75" customHeight="1">
      <c r="A25" s="1"/>
      <c r="B25" s="1"/>
      <c r="C25" s="76" t="s">
        <v>25</v>
      </c>
      <c r="D25" s="76" t="s">
        <v>89</v>
      </c>
      <c r="E25" s="76" t="s">
        <v>96</v>
      </c>
      <c r="F25" s="76" t="s">
        <v>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9.5" customHeight="1">
      <c r="A26" s="1"/>
      <c r="B26" s="1"/>
      <c r="C26" s="111" t="str">
        <f>'🗓 Study Plan'!C34</f>
        <v/>
      </c>
      <c r="D26" s="112">
        <f>IFERROR(SUMIF('📖 Study Log'!C13:C20,C26,'📖 Study Log'!F13:F20),0)</f>
        <v>0</v>
      </c>
      <c r="E26" s="113" t="str">
        <f>'🗓 Study Plan'!D34</f>
        <v/>
      </c>
      <c r="F26" s="79">
        <f t="shared" ref="F26:F35" si="1">IFERROR(IF(E26=0,0,D26/E26*100),0)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9.5" customHeight="1">
      <c r="A27" s="1"/>
      <c r="B27" s="1"/>
      <c r="C27" s="114" t="str">
        <f>'🗓 Study Plan'!C35</f>
        <v/>
      </c>
      <c r="D27" s="115">
        <f>IFERROR(SUMIF('📖 Study Log'!C13:C20,C27,'📖 Study Log'!F13:F20),0)</f>
        <v>0</v>
      </c>
      <c r="E27" s="116" t="str">
        <f>'🗓 Study Plan'!D35</f>
        <v/>
      </c>
      <c r="F27" s="81">
        <f t="shared" si="1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9.5" customHeight="1">
      <c r="A28" s="1"/>
      <c r="B28" s="1"/>
      <c r="C28" s="111" t="str">
        <f>'🗓 Study Plan'!C36</f>
        <v/>
      </c>
      <c r="D28" s="112">
        <f>IFERROR(SUMIF('📖 Study Log'!C13:C20,C28,'📖 Study Log'!F13:F20),0)</f>
        <v>0</v>
      </c>
      <c r="E28" s="113" t="str">
        <f>'🗓 Study Plan'!D36</f>
        <v/>
      </c>
      <c r="F28" s="79">
        <f t="shared" si="1"/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9.5" customHeight="1">
      <c r="A29" s="1"/>
      <c r="B29" s="1"/>
      <c r="C29" s="114" t="str">
        <f>'🗓 Study Plan'!C37</f>
        <v/>
      </c>
      <c r="D29" s="115">
        <f>IFERROR(SUMIF('📖 Study Log'!C13:C20,C29,'📖 Study Log'!F13:F20),0)</f>
        <v>0</v>
      </c>
      <c r="E29" s="116" t="str">
        <f>'🗓 Study Plan'!D37</f>
        <v/>
      </c>
      <c r="F29" s="81">
        <f t="shared" si="1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9.5" customHeight="1">
      <c r="A30" s="1"/>
      <c r="B30" s="1"/>
      <c r="C30" s="111" t="str">
        <f>'🗓 Study Plan'!C38</f>
        <v/>
      </c>
      <c r="D30" s="112">
        <f>IFERROR(SUMIF('📖 Study Log'!C13:C20,C30,'📖 Study Log'!F13:F20),0)</f>
        <v>0</v>
      </c>
      <c r="E30" s="113" t="str">
        <f>'🗓 Study Plan'!D38</f>
        <v/>
      </c>
      <c r="F30" s="79">
        <f t="shared" si="1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ht="19.5" customHeight="1">
      <c r="A31" s="1"/>
      <c r="B31" s="1"/>
      <c r="C31" s="114" t="str">
        <f>'🗓 Study Plan'!C39</f>
        <v/>
      </c>
      <c r="D31" s="115">
        <f>IFERROR(SUMIF('📖 Study Log'!C13:C20,C31,'📖 Study Log'!F13:F20),0)</f>
        <v>0</v>
      </c>
      <c r="E31" s="116" t="str">
        <f>'🗓 Study Plan'!D39</f>
        <v/>
      </c>
      <c r="F31" s="81">
        <f t="shared" si="1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ht="19.5" customHeight="1">
      <c r="A32" s="1"/>
      <c r="B32" s="1"/>
      <c r="C32" s="111" t="str">
        <f>'🗓 Study Plan'!C40</f>
        <v/>
      </c>
      <c r="D32" s="112">
        <f>IFERROR(SUMIF('📖 Study Log'!C13:C20,C32,'📖 Study Log'!F13:F20),0)</f>
        <v>0</v>
      </c>
      <c r="E32" s="113" t="str">
        <f>'🗓 Study Plan'!D40</f>
        <v/>
      </c>
      <c r="F32" s="79">
        <f t="shared" si="1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ht="19.5" customHeight="1">
      <c r="A33" s="1"/>
      <c r="B33" s="1"/>
      <c r="C33" s="114" t="str">
        <f>'🗓 Study Plan'!C41</f>
        <v/>
      </c>
      <c r="D33" s="115">
        <f>IFERROR(SUMIF('📖 Study Log'!C13:C20,C33,'📖 Study Log'!F13:F20),0)</f>
        <v>0</v>
      </c>
      <c r="E33" s="116" t="str">
        <f>'🗓 Study Plan'!D41</f>
        <v/>
      </c>
      <c r="F33" s="81">
        <f t="shared" si="1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ht="19.5" customHeight="1">
      <c r="A34" s="1"/>
      <c r="B34" s="1"/>
      <c r="C34" s="111" t="str">
        <f>'🗓 Study Plan'!C42</f>
        <v/>
      </c>
      <c r="D34" s="112">
        <f>IFERROR(SUMIF('📖 Study Log'!C13:C20,C34,'📖 Study Log'!F13:F20),0)</f>
        <v>0</v>
      </c>
      <c r="E34" s="113" t="str">
        <f>'🗓 Study Plan'!D42</f>
        <v/>
      </c>
      <c r="F34" s="79">
        <f t="shared" si="1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ht="19.5" customHeight="1">
      <c r="A35" s="1"/>
      <c r="B35" s="1"/>
      <c r="C35" s="114" t="str">
        <f>'🗓 Study Plan'!C43</f>
        <v/>
      </c>
      <c r="D35" s="115">
        <f>IFERROR(SUMIF('📖 Study Log'!C13:C20,C35,'📖 Study Log'!F13:F20),0)</f>
        <v>0</v>
      </c>
      <c r="E35" s="116" t="str">
        <f>'🗓 Study Plan'!D43</f>
        <v/>
      </c>
      <c r="F35" s="81">
        <f t="shared" si="1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2026-02-22T15:20:04Z</dcterms:created>
  <dc:creator>openpyxl</dc:creator>
</cp:coreProperties>
</file>